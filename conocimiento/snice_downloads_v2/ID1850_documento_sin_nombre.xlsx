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nice\Documents\SS Belen Mendoza\SECRETARIA ECONOMIA\FORMATOS\FORMATOS_AD_2025\FORMATOS PARA PUBLICAR AD\IMPORTACION\"/>
    </mc:Choice>
  </mc:AlternateContent>
  <bookViews>
    <workbookView xWindow="0" yWindow="0" windowWidth="19440" windowHeight="9630"/>
  </bookViews>
  <sheets>
    <sheet name="RESUMEN" sheetId="8" r:id="rId1"/>
    <sheet name="EXPEDICIONES" sheetId="9" r:id="rId2"/>
    <sheet name="EXPEDICIONES AMPLIACIONES" sheetId="10" r:id="rId3"/>
  </sheets>
  <definedNames>
    <definedName name="_xlnm._FilterDatabase" localSheetId="1" hidden="1">EXPEDICIONES!$A$13:$T$13</definedName>
    <definedName name="_xlnm._FilterDatabase" localSheetId="2" hidden="1">'EXPEDICIONES AMPLIACIONES'!$A$13:$S$14</definedName>
  </definedNames>
  <calcPr calcId="162913"/>
</workbook>
</file>

<file path=xl/calcChain.xml><?xml version="1.0" encoding="utf-8"?>
<calcChain xmlns="http://schemas.openxmlformats.org/spreadsheetml/2006/main">
  <c r="O14" i="10" l="1"/>
  <c r="A7" i="10" l="1"/>
  <c r="A6" i="10"/>
</calcChain>
</file>

<file path=xl/sharedStrings.xml><?xml version="1.0" encoding="utf-8"?>
<sst xmlns="http://schemas.openxmlformats.org/spreadsheetml/2006/main" count="166" uniqueCount="103">
  <si>
    <t>No. DE FOLIO DE SOLICITUD</t>
  </si>
  <si>
    <t>FECHA/HORA DE RECEPCIÓN</t>
  </si>
  <si>
    <t>FECHA/HORA DE RESOLUCIÓN</t>
  </si>
  <si>
    <t>NOMBRE/RAZÓN SOCIAL</t>
  </si>
  <si>
    <t>INFORMACIÓN GENERAL</t>
  </si>
  <si>
    <t>IMPORTACIÓN</t>
  </si>
  <si>
    <t>ASIGNACIÓN DIRECTA</t>
  </si>
  <si>
    <t>Definiciones:</t>
  </si>
  <si>
    <t>SOLICITUDES DE ASIGNACIÓN</t>
  </si>
  <si>
    <t>CANCELACIONES A SOLICITUD DEL BENEFICIARIO</t>
  </si>
  <si>
    <t>No. DE FOLIO</t>
  </si>
  <si>
    <t>ACEPTADA</t>
  </si>
  <si>
    <t>TIPO DE BENEFICIARIO</t>
  </si>
  <si>
    <t>MONTO CANCELADO
(UdM)</t>
  </si>
  <si>
    <t>MONTO EXPEDIDO
(UdM)</t>
  </si>
  <si>
    <t>ASIGNACIÓN</t>
  </si>
  <si>
    <t>RESUMEN GLOBAL</t>
  </si>
  <si>
    <t>UTILIZACIÓN</t>
  </si>
  <si>
    <t>LISTADO DE BENEFICIARIOS</t>
  </si>
  <si>
    <r>
      <t xml:space="preserve">MONTO UTILIZADO </t>
    </r>
    <r>
      <rPr>
        <b/>
        <vertAlign val="superscript"/>
        <sz val="11"/>
        <color indexed="8"/>
        <rFont val="Arial"/>
        <family val="2"/>
      </rPr>
      <t>2)</t>
    </r>
    <r>
      <rPr>
        <b/>
        <sz val="11"/>
        <color indexed="8"/>
        <rFont val="Arial"/>
        <family val="2"/>
      </rPr>
      <t xml:space="preserve"> 
(UdM)</t>
    </r>
  </si>
  <si>
    <t>MONTO NO UTILIZADO 
(UdM)</t>
  </si>
  <si>
    <t>RESUMEN POR BENEFICIARIO</t>
  </si>
  <si>
    <t>CRITERIOS DE ASIGNACIÓN</t>
  </si>
  <si>
    <t>MONTO SOLICITADO 
(UdM)
[A]</t>
  </si>
  <si>
    <r>
      <rPr>
        <b/>
        <sz val="11"/>
        <color indexed="8"/>
        <rFont val="Arial"/>
        <family val="2"/>
      </rPr>
      <t>3) Fecha de Cancelación:</t>
    </r>
    <r>
      <rPr>
        <sz val="11"/>
        <color indexed="8"/>
        <rFont val="Arial"/>
        <family val="2"/>
      </rPr>
      <t xml:space="preserve"> Es la fecha en la que se ingresa el trámite de cancelación.</t>
    </r>
  </si>
  <si>
    <r>
      <t xml:space="preserve">FECHA DE CANCELACIÓN </t>
    </r>
    <r>
      <rPr>
        <b/>
        <vertAlign val="superscript"/>
        <sz val="11"/>
        <color indexed="8"/>
        <rFont val="Arial"/>
        <family val="2"/>
      </rPr>
      <t>3)</t>
    </r>
  </si>
  <si>
    <t>ESTATUS DEL TRAMITE</t>
  </si>
  <si>
    <t>NUEVAS EMPRESAS</t>
  </si>
  <si>
    <t>TRADICIONALES</t>
  </si>
  <si>
    <t>IMPORTADORA Y EXPORTADORA DE PUROS Y TABACOS SA DE CV</t>
  </si>
  <si>
    <t>AMPLIACIONES</t>
  </si>
  <si>
    <t>N/A</t>
  </si>
  <si>
    <t>ASIGNACIÓN INICIAL</t>
  </si>
  <si>
    <r>
      <t>MONTO ASIGNADO TRADICIONALES Y NUEVAS EMPRESAS</t>
    </r>
    <r>
      <rPr>
        <b/>
        <vertAlign val="superscript"/>
        <sz val="11"/>
        <color indexed="8"/>
        <rFont val="Arial"/>
        <family val="2"/>
      </rPr>
      <t xml:space="preserve"> 1)</t>
    </r>
  </si>
  <si>
    <t>RESOLUCIÓN DE LA ASIGNACIÓN</t>
  </si>
  <si>
    <t>VIGENCIA DE LA ASIGNACIÓN</t>
  </si>
  <si>
    <t>MODALIDAD</t>
  </si>
  <si>
    <r>
      <rPr>
        <b/>
        <sz val="11"/>
        <rFont val="Arial"/>
        <family val="2"/>
      </rPr>
      <t>1) Ciclo del Cupo</t>
    </r>
    <r>
      <rPr>
        <sz val="11"/>
        <rFont val="Arial"/>
        <family val="2"/>
      </rPr>
      <t>: Se refiere a la vigencia establecida en el Acuerdo del cupo.</t>
    </r>
  </si>
  <si>
    <r>
      <rPr>
        <b/>
        <sz val="11"/>
        <rFont val="Arial"/>
        <family val="2"/>
      </rPr>
      <t>3) Periodo del Subcupo</t>
    </r>
    <r>
      <rPr>
        <sz val="11"/>
        <rFont val="Arial"/>
        <family val="2"/>
      </rPr>
      <t>: Inicio del periodo de recepción de solicitudes en VUCEM hasta la vigencia del certificado.</t>
    </r>
  </si>
  <si>
    <t>UNIDAD DE MEDIDA (UdM): PIEZA</t>
  </si>
  <si>
    <t>MONTO IMPORTADO DE LA ASIGNACIÓN DEL AÑO ANTERIOR
[B]</t>
  </si>
  <si>
    <t>10% DEL CUPO
[C]</t>
  </si>
  <si>
    <t>No. DE CERTIFICADO</t>
  </si>
  <si>
    <t>1)</t>
  </si>
  <si>
    <t>2)</t>
  </si>
  <si>
    <t>(A)</t>
  </si>
  <si>
    <t>(B)</t>
  </si>
  <si>
    <t>(C)</t>
  </si>
  <si>
    <t>(D)</t>
  </si>
  <si>
    <t>(E)</t>
  </si>
  <si>
    <t>(F)</t>
  </si>
  <si>
    <t>(G)</t>
  </si>
  <si>
    <t>(H)</t>
  </si>
  <si>
    <t>(I)</t>
  </si>
  <si>
    <t>3)</t>
  </si>
  <si>
    <t>4)</t>
  </si>
  <si>
    <t>Monto Total Solicitado</t>
  </si>
  <si>
    <t>Monto Total Asignado</t>
  </si>
  <si>
    <t>Monto Total No Asignado</t>
  </si>
  <si>
    <t>Monto Total Expedido</t>
  </si>
  <si>
    <t>Monto Total Utilizado</t>
  </si>
  <si>
    <t>Monto Total No Utilizado</t>
  </si>
  <si>
    <t>Monto Total Cancelado</t>
  </si>
  <si>
    <t>Saldo Disponible</t>
  </si>
  <si>
    <t>Nivel de Utilización</t>
  </si>
  <si>
    <r>
      <t xml:space="preserve">1) Criterios de Asignación:
- Asignación Tradicionales: </t>
    </r>
    <r>
      <rPr>
        <sz val="11"/>
        <color indexed="8"/>
        <rFont val="Arial"/>
        <family val="2"/>
      </rPr>
      <t>Se asigna lo menor entre el Monto Solicitado [A] o el Monto Importado de la asignación total del año anterior [B].</t>
    </r>
    <r>
      <rPr>
        <b/>
        <sz val="11"/>
        <color indexed="8"/>
        <rFont val="Arial"/>
        <family val="2"/>
      </rPr>
      <t xml:space="preserve">
- Asignación Nuevas Empresas: </t>
    </r>
    <r>
      <rPr>
        <sz val="11"/>
        <color indexed="8"/>
        <rFont val="Arial"/>
        <family val="2"/>
      </rPr>
      <t>Se asigna lo menor entre el Monto Solicitado [A] o el 10% del Monto disponible para este tipo de beneficiarios [C].</t>
    </r>
    <r>
      <rPr>
        <b/>
        <sz val="11"/>
        <color indexed="8"/>
        <rFont val="Arial"/>
        <family val="2"/>
      </rPr>
      <t/>
    </r>
  </si>
  <si>
    <t>Ciclo del Cupo</t>
  </si>
  <si>
    <t>Monto Total del Cupo</t>
  </si>
  <si>
    <t>Periodo del Subcupo</t>
  </si>
  <si>
    <t>Monto Total del Subcupo</t>
  </si>
  <si>
    <r>
      <rPr>
        <b/>
        <sz val="11"/>
        <rFont val="Arial"/>
        <family val="2"/>
      </rPr>
      <t>2) Unidad de Medida (UdM)</t>
    </r>
    <r>
      <rPr>
        <sz val="11"/>
        <rFont val="Arial"/>
        <family val="2"/>
      </rPr>
      <t>: Unidad métrica con la que se establece el monto del cupo en el Acuerdo.</t>
    </r>
  </si>
  <si>
    <t>Pieza</t>
  </si>
  <si>
    <t>(J)</t>
  </si>
  <si>
    <r>
      <rPr>
        <b/>
        <sz val="11"/>
        <rFont val="Arial"/>
        <family val="2"/>
      </rPr>
      <t>(A) Monto Total del Cupo</t>
    </r>
    <r>
      <rPr>
        <sz val="11"/>
        <rFont val="Arial"/>
        <family val="2"/>
      </rPr>
      <t>: Monto total establecido en el Acuerdo del cupo expresado en la unidad de medida correspondiente.</t>
    </r>
  </si>
  <si>
    <t>Unidad de Medida (UdM)</t>
  </si>
  <si>
    <t>ACE No. 51/CUBA</t>
  </si>
  <si>
    <r>
      <rPr>
        <b/>
        <sz val="11"/>
        <rFont val="Arial"/>
        <family val="2"/>
      </rPr>
      <t>()</t>
    </r>
    <r>
      <rPr>
        <sz val="11"/>
        <rFont val="Arial"/>
        <family val="2"/>
      </rPr>
      <t xml:space="preserve"> </t>
    </r>
    <r>
      <rPr>
        <b/>
        <sz val="11"/>
        <rFont val="Arial"/>
        <family val="2"/>
      </rPr>
      <t>Monto Total Solicitado:</t>
    </r>
    <r>
      <rPr>
        <sz val="11"/>
        <rFont val="Arial"/>
        <family val="2"/>
      </rPr>
      <t xml:space="preserve"> Suma del monto de todas las solicitudes de asignación de cupo recibidas, expresada en la unidad de medida correspondiente.
</t>
    </r>
    <r>
      <rPr>
        <b/>
        <sz val="11"/>
        <rFont val="Arial"/>
        <family val="2"/>
      </rPr>
      <t xml:space="preserve">Nota: </t>
    </r>
    <r>
      <rPr>
        <sz val="11"/>
        <rFont val="Arial"/>
        <family val="2"/>
      </rPr>
      <t>Para el Resumen Global es la suma del Monto Total Expedido (E) (Asignación Inicial + Ampliación) de los beneficiarios Tradicionales y Nuevas Empresas.</t>
    </r>
  </si>
  <si>
    <r>
      <t xml:space="preserve">(C) Monto Total Asignado: </t>
    </r>
    <r>
      <rPr>
        <sz val="11"/>
        <rFont val="Arial"/>
        <family val="2"/>
      </rPr>
      <t xml:space="preserve">Es el monto que la Secretaría de Economía determina en el oficio de Asignación amparado en el Acuerdo y ejerciendo los métodos de asignación para cada beneficiario.
</t>
    </r>
    <r>
      <rPr>
        <b/>
        <sz val="11"/>
        <rFont val="Arial"/>
        <family val="2"/>
      </rPr>
      <t>Nota:</t>
    </r>
    <r>
      <rPr>
        <sz val="11"/>
        <rFont val="Arial"/>
        <family val="2"/>
      </rPr>
      <t xml:space="preserve"> Para el Resumen Global es la suma del Monto Total Expedido (E) (Asignación Inicial + Ampliación) de los beneficiarios Tradicionales y Nuevas Empresas.</t>
    </r>
  </si>
  <si>
    <r>
      <t>(D) Monto Total No Asignado:</t>
    </r>
    <r>
      <rPr>
        <sz val="11"/>
        <rFont val="Arial"/>
        <family val="2"/>
      </rPr>
      <t xml:space="preserve"> Es la diferencia del Monto Total del Cupo y/o Subcupo menos el Monto Total Asignado. 
</t>
    </r>
    <r>
      <rPr>
        <b/>
        <sz val="11"/>
        <rFont val="Arial"/>
        <family val="2"/>
      </rPr>
      <t>Nota:</t>
    </r>
    <r>
      <rPr>
        <sz val="11"/>
        <rFont val="Arial"/>
        <family val="2"/>
      </rPr>
      <t xml:space="preserve"> Para el Resumen Global se refiere a la diferencia del Monto Total del Cupo (A) menos el Monto Total Asignado (C). Para el Resumen por Beneficiario se indica la diferencia del Monto Total del Subcupo 4) menos el Monto Total Asignado (C).</t>
    </r>
  </si>
  <si>
    <r>
      <rPr>
        <b/>
        <sz val="11"/>
        <rFont val="Arial"/>
        <family val="2"/>
      </rPr>
      <t>(E)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es la suma del Monto Total Expedido (E) (Asignación Inicial + Ampliación) de los beneficiarios Tradicionales y Nuevas Empresas.</t>
    </r>
  </si>
  <si>
    <r>
      <rPr>
        <b/>
        <sz val="11"/>
        <rFont val="Arial"/>
        <family val="2"/>
      </rPr>
      <t>(H)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(H) (Asignación Inicial + Ampliación) de los beneficiarios Tradicionales y Nuevas Empresas.</t>
    </r>
  </si>
  <si>
    <r>
      <t xml:space="preserve">(I) Saldo disponible: </t>
    </r>
    <r>
      <rPr>
        <sz val="11"/>
        <rFont val="Arial"/>
        <family val="2"/>
      </rPr>
      <t xml:space="preserve">Se refiere al monto total del cupo no asignado, que se obtiene de la diferencia del Monto Total del Cupo (A) menos el Monto Total Asignado (C).
</t>
    </r>
    <r>
      <rPr>
        <b/>
        <sz val="11"/>
        <rFont val="Arial"/>
        <family val="2"/>
      </rPr>
      <t xml:space="preserve">Nota: </t>
    </r>
    <r>
      <rPr>
        <sz val="11"/>
        <rFont val="Arial"/>
        <family val="2"/>
      </rPr>
      <t>Se publica únicamente cuando la fecha de actualización de la información es menor que la vigencia del cupo.</t>
    </r>
  </si>
  <si>
    <r>
      <rPr>
        <b/>
        <sz val="11"/>
        <rFont val="Arial"/>
        <family val="2"/>
      </rPr>
      <t>(J) Nivel de Utilización:</t>
    </r>
    <r>
      <rPr>
        <sz val="11"/>
        <rFont val="Arial"/>
        <family val="2"/>
      </rPr>
      <t xml:space="preserve"> </t>
    </r>
    <r>
      <rPr>
        <sz val="11"/>
        <color indexed="8"/>
        <rFont val="Arial"/>
        <family val="2"/>
      </rPr>
      <t xml:space="preserve">Proporción de lo utilizado respecto del total del cupo y/o subcupo. 
</t>
    </r>
    <r>
      <rPr>
        <b/>
        <sz val="11"/>
        <color indexed="8"/>
        <rFont val="Arial"/>
        <family val="2"/>
      </rPr>
      <t>Nota:</t>
    </r>
    <r>
      <rPr>
        <sz val="11"/>
        <color indexed="8"/>
        <rFont val="Arial"/>
        <family val="2"/>
      </rPr>
      <t xml:space="preserve"> Para el Resumen Global, el Nivel de Utilización se obtiene del Monto Total Utilizado (F) / Monto Total del Cupo (A). Para el Resumen por Beneficiario se obtiene del Monto Tota Utilizado (F) / Monto Total del Subcupo 4).</t>
    </r>
  </si>
  <si>
    <t>PUROS. ÚNICAMENTE: PUROS, CON PRECIO DE ENTRADA A LA IMPORTACIÓN MAYOR A $3.00 DÓLARES PERO IGUAL O MENOR A $5.00 DÓLARES, POR UNIDAD</t>
  </si>
  <si>
    <r>
      <t>4) Monto Total del Subcupo:</t>
    </r>
    <r>
      <rPr>
        <sz val="11"/>
        <rFont val="Arial"/>
        <family val="2"/>
      </rPr>
      <t xml:space="preserve"> 
</t>
    </r>
    <r>
      <rPr>
        <b/>
        <sz val="11"/>
        <rFont val="Arial"/>
        <family val="2"/>
      </rPr>
      <t>- Asignación Inicial:</t>
    </r>
    <r>
      <rPr>
        <sz val="11"/>
        <rFont val="Arial"/>
        <family val="2"/>
      </rPr>
      <t xml:space="preserve"> Es el monto total establecido en el Acuerdo del cupo expresado en la unidad de medida correspondiente.
- </t>
    </r>
    <r>
      <rPr>
        <b/>
        <sz val="11"/>
        <rFont val="Arial"/>
        <family val="2"/>
      </rPr>
      <t>Ampliaciones:</t>
    </r>
    <r>
      <rPr>
        <sz val="11"/>
        <rFont val="Arial"/>
        <family val="2"/>
      </rPr>
      <t xml:space="preserve"> Para los beneficiarios Tradicionales, corresponde al Monto Total No Asignado (C) al 5 de enero de cada año y para las Nuevas Empresas corresponde al Monto Total No Asignado (C) al 5 de septiembre de cada año. </t>
    </r>
  </si>
  <si>
    <t>MONTO IMPORTADO DE LA PRIMERA ASIGNACIÓN DEL AÑO VIGENTE
[B]</t>
  </si>
  <si>
    <r>
      <t>1) Criterios de Asignación:
- Tradicionales y Nuevas Empresas:</t>
    </r>
    <r>
      <rPr>
        <sz val="11"/>
        <color indexed="8"/>
        <rFont val="Arial"/>
        <family val="2"/>
      </rPr>
      <t xml:space="preserve"> Se asigna lo menor entre el Monto Solicitado [A] o el Monto Importado de la asignación total previa durante el periodo vigente [B], siempre que haya saldo disponible.</t>
    </r>
  </si>
  <si>
    <r>
      <rPr>
        <b/>
        <sz val="11"/>
        <rFont val="Arial"/>
        <family val="2"/>
      </rPr>
      <t>(F) Monto Total Utilizado</t>
    </r>
    <r>
      <rPr>
        <sz val="11"/>
        <rFont val="Arial"/>
        <family val="2"/>
      </rPr>
      <t xml:space="preserve">: Suma del monto ejercido por cada beneficiario, declarado en los pedimentos de importación validados ante la ANAM, expresado en la unidad de medida correspondiente.
</t>
    </r>
    <r>
      <rPr>
        <b/>
        <sz val="11"/>
        <rFont val="Arial"/>
        <family val="2"/>
      </rPr>
      <t>Nota:</t>
    </r>
    <r>
      <rPr>
        <sz val="11"/>
        <rFont val="Arial"/>
        <family val="2"/>
      </rPr>
      <t xml:space="preserve"> Para el Resumen Global es la suma del Monto Total Utilizado (F) (Asignación Inicial + Ampliación) de los beneficiarios Tradicionales y Nuevas Empresas.</t>
    </r>
  </si>
  <si>
    <r>
      <rPr>
        <b/>
        <sz val="11"/>
        <rFont val="Arial"/>
        <family val="2"/>
      </rPr>
      <t>(G) Monto Total No Utilizado:</t>
    </r>
    <r>
      <rPr>
        <sz val="11"/>
        <rFont val="Arial"/>
        <family val="2"/>
      </rPr>
      <t xml:space="preserve"> Se refiere al monto no utilizado de los certificados declarados en los pedimentos de importación validados ante la ANAM, incluyendo el monto de los certificados desistidos por los beneficiarios. 
</t>
    </r>
    <r>
      <rPr>
        <b/>
        <sz val="11"/>
        <rFont val="Arial"/>
        <family val="2"/>
      </rPr>
      <t>Nota:</t>
    </r>
    <r>
      <rPr>
        <sz val="11"/>
        <rFont val="Arial"/>
        <family val="2"/>
      </rPr>
      <t xml:space="preserve"> Para el Resumen Global se refiere a la diferencia del Monto Total Asignado (C) menos el Monto Total Utilizado (F). Para el Resumen por Beneficiario se obtiene de la diferencia del Monto Total Asignado (C) y el Monto Total Utilizado (F). </t>
    </r>
  </si>
  <si>
    <t>SECRETARÍA DE ECONOMÍA CON INFORMACIÓN DE VUCEM Y OPERACIONES DE COMERCIO EXTERIOR (BCMM)</t>
  </si>
  <si>
    <t>INFORMACIÓN ACTUALIZADA AL 31/03/2025</t>
  </si>
  <si>
    <t>04-noviembre de 2024 al 03-noviembre de 2025</t>
  </si>
  <si>
    <t>PERIODO REPORTADO: 04-NOVIEMBRE DE 2024 AL 31-MARZO DE 2025</t>
  </si>
  <si>
    <t>05-septiembre de 2025 al 03-noviembre de 2025</t>
  </si>
  <si>
    <t>05-enero de 2025 al 03-noviembre de 2025</t>
  </si>
  <si>
    <t>PERIODO REPORTADO: 05-ENERO DE 2025 AL 31-MARZO DE 2025</t>
  </si>
  <si>
    <r>
      <rPr>
        <b/>
        <sz val="11"/>
        <rFont val="Arial"/>
        <family val="2"/>
      </rPr>
      <t xml:space="preserve">2)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</si>
  <si>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04/11/2024 16:00:00</t>
  </si>
  <si>
    <t>0201200400220249901000083</t>
  </si>
  <si>
    <t>21/11/2024 19:13:08</t>
  </si>
  <si>
    <t>03/11/2025</t>
  </si>
  <si>
    <t>24PS3001065/9901</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</si>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</sst>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b/>
      <vertAlign val="superscript"/>
      <sz val="11"/>
      <color indexed="8"/>
      <name val="Arial"/>
      <family val="2"/>
    </font>
    <font>
      <sz val="11"/>
      <color indexed="8"/>
      <name val="Calibri"/>
      <family val="2"/>
      <scheme val="minor"/>
    </font>
    <font>
      <sz val="11"/>
      <color theme="1"/>
      <name val="Calibri"/>
      <family val="2"/>
      <scheme val="minor"/>
    </font>
    <font>
      <sz val="10"/>
      <color theme="1"/>
      <name val="Tahoma"/>
      <family val="2"/>
    </font>
    <font>
      <b/>
      <sz val="11"/>
      <color theme="1"/>
      <name val="Arial"/>
      <family val="2"/>
    </font>
    <font>
      <sz val="11"/>
      <color theme="1"/>
      <name val="Arial"/>
      <family val="2"/>
    </font>
    <font>
      <sz val="11"/>
      <color rgb="FF000000"/>
      <name val="Arial"/>
      <family val="2"/>
    </font>
  </fonts>
  <fills count="1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65"/>
        <bgColor theme="0"/>
      </patternFill>
    </fill>
    <fill>
      <patternFill patternType="solid">
        <fgColor rgb="FF00B0F0"/>
        <bgColor indexed="64"/>
      </patternFill>
    </fill>
    <fill>
      <patternFill patternType="solid">
        <fgColor theme="3" tint="0.79998168889431442"/>
        <bgColor indexed="64"/>
      </patternFill>
    </fill>
    <fill>
      <patternFill patternType="solid">
        <fgColor theme="0"/>
        <bgColor theme="0"/>
      </patternFill>
    </fill>
    <fill>
      <patternFill patternType="solid">
        <fgColor theme="6"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s>
  <cellStyleXfs count="9">
    <xf numFmtId="0" fontId="0" fillId="0" borderId="0"/>
    <xf numFmtId="43" fontId="6" fillId="0" borderId="0" applyFont="0" applyFill="0" applyBorder="0" applyAlignment="0" applyProtection="0"/>
    <xf numFmtId="0" fontId="8" fillId="0" borderId="0"/>
    <xf numFmtId="0" fontId="8" fillId="0" borderId="0"/>
    <xf numFmtId="0" fontId="6" fillId="0" borderId="0"/>
    <xf numFmtId="0" fontId="7" fillId="0" borderId="0"/>
    <xf numFmtId="0" fontId="6" fillId="0" borderId="0"/>
    <xf numFmtId="9" fontId="6" fillId="0" borderId="0" applyFont="0" applyFill="0" applyBorder="0" applyAlignment="0" applyProtection="0"/>
    <xf numFmtId="9" fontId="6" fillId="0" borderId="0" applyFont="0" applyFill="0" applyBorder="0" applyAlignment="0" applyProtection="0"/>
  </cellStyleXfs>
  <cellXfs count="100">
    <xf numFmtId="0" fontId="0" fillId="0" borderId="0" xfId="0"/>
    <xf numFmtId="49" fontId="4" fillId="0" borderId="1" xfId="6" applyNumberFormat="1" applyFont="1" applyBorder="1" applyAlignment="1">
      <alignment vertical="center"/>
    </xf>
    <xf numFmtId="0" fontId="9" fillId="3" borderId="1" xfId="2" applyFont="1" applyFill="1" applyBorder="1" applyAlignment="1">
      <alignment horizontal="center" vertical="center" wrapText="1"/>
    </xf>
    <xf numFmtId="3" fontId="9" fillId="4" borderId="1" xfId="2" applyNumberFormat="1" applyFont="1" applyFill="1" applyBorder="1" applyAlignment="1">
      <alignment horizontal="center" vertical="center" wrapText="1"/>
    </xf>
    <xf numFmtId="3" fontId="10" fillId="0" borderId="1" xfId="0" applyNumberFormat="1" applyFont="1" applyFill="1" applyBorder="1" applyAlignment="1">
      <alignment horizontal="center" vertical="center"/>
    </xf>
    <xf numFmtId="0" fontId="4" fillId="5" borderId="1" xfId="0" applyFont="1" applyFill="1" applyBorder="1" applyAlignment="1">
      <alignment horizontal="center" vertical="center" wrapText="1"/>
    </xf>
    <xf numFmtId="0" fontId="10" fillId="0" borderId="1" xfId="0" applyFont="1" applyFill="1" applyBorder="1" applyAlignment="1">
      <alignment horizontal="left" vertical="center"/>
    </xf>
    <xf numFmtId="49" fontId="2" fillId="0" borderId="5" xfId="6" applyNumberFormat="1" applyFont="1" applyFill="1" applyBorder="1" applyAlignment="1">
      <alignment vertical="center"/>
    </xf>
    <xf numFmtId="49" fontId="4" fillId="0" borderId="1" xfId="6" applyNumberFormat="1" applyFont="1" applyFill="1" applyBorder="1" applyAlignment="1">
      <alignment vertical="center"/>
    </xf>
    <xf numFmtId="0" fontId="10" fillId="0" borderId="1" xfId="0" applyFont="1" applyFill="1" applyBorder="1" applyAlignment="1">
      <alignment horizontal="center" vertical="center"/>
    </xf>
    <xf numFmtId="3" fontId="1" fillId="0" borderId="1" xfId="6" applyNumberFormat="1" applyFont="1" applyBorder="1" applyAlignment="1">
      <alignment horizontal="right" vertical="center"/>
    </xf>
    <xf numFmtId="3" fontId="1" fillId="0" borderId="1" xfId="6" applyNumberFormat="1" applyFont="1" applyFill="1" applyBorder="1" applyAlignment="1">
      <alignment horizontal="right" vertical="center"/>
    </xf>
    <xf numFmtId="9" fontId="1" fillId="0" borderId="1" xfId="7" applyNumberFormat="1" applyFont="1" applyBorder="1" applyAlignment="1">
      <alignment horizontal="right" vertical="center"/>
    </xf>
    <xf numFmtId="0" fontId="3" fillId="2" borderId="0" xfId="0" applyFont="1" applyFill="1" applyAlignment="1">
      <alignment vertical="center"/>
    </xf>
    <xf numFmtId="3" fontId="3" fillId="2" borderId="0" xfId="0" applyNumberFormat="1" applyFont="1" applyFill="1" applyAlignment="1">
      <alignment vertical="center"/>
    </xf>
    <xf numFmtId="49" fontId="4" fillId="6" borderId="6" xfId="0" applyNumberFormat="1" applyFont="1" applyFill="1" applyBorder="1" applyAlignment="1">
      <alignment horizontal="center" vertical="center" wrapText="1"/>
    </xf>
    <xf numFmtId="49" fontId="2" fillId="2" borderId="1" xfId="6" applyNumberFormat="1" applyFont="1" applyFill="1" applyBorder="1" applyAlignment="1">
      <alignment vertical="center"/>
    </xf>
    <xf numFmtId="3" fontId="1" fillId="2" borderId="1" xfId="6" applyNumberFormat="1" applyFont="1" applyFill="1" applyBorder="1" applyAlignment="1">
      <alignment horizontal="right" vertical="center"/>
    </xf>
    <xf numFmtId="0" fontId="3" fillId="0" borderId="1" xfId="0" applyFont="1" applyFill="1" applyBorder="1" applyAlignment="1">
      <alignment horizontal="center" vertical="center"/>
    </xf>
    <xf numFmtId="0" fontId="11" fillId="7" borderId="0" xfId="0" applyFont="1" applyFill="1" applyAlignment="1">
      <alignment horizontal="left" vertical="center" wrapText="1"/>
    </xf>
    <xf numFmtId="3" fontId="3" fillId="0" borderId="1" xfId="6" applyNumberFormat="1" applyFont="1" applyFill="1" applyBorder="1" applyAlignment="1">
      <alignment vertical="center"/>
    </xf>
    <xf numFmtId="3" fontId="9" fillId="8" borderId="1" xfId="2" applyNumberFormat="1" applyFont="1" applyFill="1" applyBorder="1" applyAlignment="1">
      <alignment horizontal="center" vertical="center" wrapText="1"/>
    </xf>
    <xf numFmtId="0" fontId="2" fillId="3" borderId="1" xfId="2" applyFont="1" applyFill="1" applyBorder="1" applyAlignment="1">
      <alignment horizontal="center" vertical="center" wrapText="1"/>
    </xf>
    <xf numFmtId="49" fontId="10" fillId="2" borderId="0" xfId="0" applyNumberFormat="1" applyFont="1" applyFill="1" applyBorder="1" applyAlignment="1">
      <alignment vertical="center"/>
    </xf>
    <xf numFmtId="0" fontId="9" fillId="8" borderId="1" xfId="2" applyFont="1" applyFill="1" applyBorder="1" applyAlignment="1">
      <alignment horizontal="center" vertical="center" wrapText="1"/>
    </xf>
    <xf numFmtId="0" fontId="9" fillId="4" borderId="1" xfId="2" applyFont="1" applyFill="1" applyBorder="1" applyAlignment="1">
      <alignment horizontal="center" vertical="center" wrapText="1"/>
    </xf>
    <xf numFmtId="0" fontId="11" fillId="7" borderId="0" xfId="0" applyFont="1" applyFill="1" applyAlignment="1">
      <alignment horizontal="left" vertical="center" wrapText="1"/>
    </xf>
    <xf numFmtId="3" fontId="1" fillId="0" borderId="1" xfId="7" applyNumberFormat="1" applyFont="1" applyFill="1" applyBorder="1" applyAlignment="1">
      <alignment horizontal="right" vertical="center"/>
    </xf>
    <xf numFmtId="0" fontId="11" fillId="7" borderId="0" xfId="0" applyFont="1" applyFill="1" applyAlignment="1">
      <alignment vertical="center" wrapText="1"/>
    </xf>
    <xf numFmtId="49" fontId="4" fillId="9" borderId="7" xfId="0" applyNumberFormat="1"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vertical="center"/>
    </xf>
    <xf numFmtId="49" fontId="4" fillId="9" borderId="7" xfId="0" applyNumberFormat="1" applyFont="1" applyFill="1" applyBorder="1" applyAlignment="1">
      <alignment horizontal="center" vertical="center"/>
    </xf>
    <xf numFmtId="0" fontId="9" fillId="3" borderId="8" xfId="2" applyFont="1" applyFill="1" applyBorder="1" applyAlignment="1">
      <alignment horizontal="center" vertical="center" wrapText="1"/>
    </xf>
    <xf numFmtId="3" fontId="10" fillId="2" borderId="1" xfId="0" applyNumberFormat="1" applyFont="1" applyFill="1" applyBorder="1" applyAlignment="1">
      <alignment horizontal="center" vertical="center"/>
    </xf>
    <xf numFmtId="0" fontId="11" fillId="7" borderId="0" xfId="0" applyFont="1" applyFill="1" applyAlignment="1">
      <alignment horizontal="left" vertical="center" wrapText="1"/>
    </xf>
    <xf numFmtId="0" fontId="11" fillId="0" borderId="0" xfId="0" applyFont="1" applyFill="1" applyAlignment="1">
      <alignment horizontal="left" vertical="center" wrapText="1"/>
    </xf>
    <xf numFmtId="0" fontId="11" fillId="10" borderId="0" xfId="0" applyFont="1" applyFill="1" applyAlignment="1">
      <alignment horizontal="justify" vertical="center" wrapText="1"/>
    </xf>
    <xf numFmtId="0" fontId="11" fillId="10" borderId="0" xfId="0" applyFont="1" applyFill="1" applyAlignment="1">
      <alignment horizontal="justify" vertical="center"/>
    </xf>
    <xf numFmtId="0" fontId="3" fillId="2" borderId="0" xfId="0" applyFont="1" applyFill="1" applyAlignment="1">
      <alignment horizontal="left" vertical="center" wrapText="1"/>
    </xf>
    <xf numFmtId="49" fontId="4" fillId="2" borderId="1" xfId="6" applyNumberFormat="1" applyFont="1" applyFill="1" applyBorder="1" applyAlignment="1">
      <alignment vertical="center"/>
    </xf>
    <xf numFmtId="0" fontId="11" fillId="7" borderId="0" xfId="0" applyFont="1" applyFill="1" applyAlignment="1">
      <alignment horizontal="left" vertical="center" wrapText="1"/>
    </xf>
    <xf numFmtId="0" fontId="3" fillId="2" borderId="0" xfId="0" applyFont="1" applyFill="1" applyAlignment="1">
      <alignment horizontal="left" vertical="center" wrapText="1"/>
    </xf>
    <xf numFmtId="0" fontId="3" fillId="10" borderId="0" xfId="0" applyFont="1" applyFill="1" applyBorder="1" applyAlignment="1">
      <alignment horizontal="justify" vertical="center"/>
    </xf>
    <xf numFmtId="0" fontId="11" fillId="10" borderId="0" xfId="0" applyFont="1" applyFill="1" applyAlignment="1">
      <alignment horizontal="justify" vertical="center" wrapText="1"/>
    </xf>
    <xf numFmtId="0" fontId="11" fillId="10" borderId="0" xfId="0" applyFont="1" applyFill="1" applyAlignment="1">
      <alignment horizontal="justify" vertical="center"/>
    </xf>
    <xf numFmtId="0" fontId="3" fillId="0" borderId="1" xfId="0" applyFont="1" applyBorder="1" applyAlignment="1">
      <alignment horizontal="center"/>
    </xf>
    <xf numFmtId="0" fontId="3" fillId="0" borderId="1" xfId="0" applyFont="1" applyFill="1" applyBorder="1" applyAlignment="1">
      <alignment horizontal="left" vertical="center"/>
    </xf>
    <xf numFmtId="0" fontId="11" fillId="7" borderId="0" xfId="0" applyFont="1" applyFill="1" applyAlignment="1">
      <alignment horizontal="left" vertical="center" wrapText="1"/>
    </xf>
    <xf numFmtId="49" fontId="2" fillId="2" borderId="1" xfId="6" applyNumberFormat="1" applyFont="1" applyFill="1" applyBorder="1" applyAlignment="1">
      <alignment horizontal="center" vertical="center"/>
    </xf>
    <xf numFmtId="49" fontId="2" fillId="0" borderId="1" xfId="6" applyNumberFormat="1" applyFont="1" applyFill="1" applyBorder="1" applyAlignment="1">
      <alignment horizontal="center" vertical="center"/>
    </xf>
    <xf numFmtId="49" fontId="2" fillId="0" borderId="5" xfId="6" applyNumberFormat="1" applyFont="1" applyFill="1" applyBorder="1" applyAlignment="1">
      <alignment horizontal="center" vertical="center"/>
    </xf>
    <xf numFmtId="0" fontId="1" fillId="0" borderId="1" xfId="6" applyFont="1" applyFill="1" applyBorder="1" applyAlignment="1">
      <alignment horizontal="right" vertical="center"/>
    </xf>
    <xf numFmtId="0" fontId="1" fillId="2" borderId="1" xfId="6" applyFont="1" applyFill="1" applyBorder="1" applyAlignment="1">
      <alignment horizontal="right" vertical="center"/>
    </xf>
    <xf numFmtId="0" fontId="3" fillId="2" borderId="0" xfId="0" applyFont="1" applyFill="1" applyAlignment="1">
      <alignment horizontal="left" vertic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alignment horizontal="left" vertical="center"/>
    </xf>
    <xf numFmtId="0" fontId="11" fillId="7" borderId="0" xfId="0" applyFont="1" applyFill="1" applyAlignment="1">
      <alignment horizontal="center" vertical="center" wrapText="1"/>
    </xf>
    <xf numFmtId="0" fontId="11" fillId="7" borderId="0" xfId="0" applyFont="1" applyFill="1" applyAlignment="1">
      <alignment vertical="center"/>
    </xf>
    <xf numFmtId="0" fontId="11" fillId="10" borderId="0" xfId="0" applyFont="1" applyFill="1" applyAlignment="1">
      <alignment vertical="center"/>
    </xf>
    <xf numFmtId="0" fontId="11" fillId="2" borderId="0" xfId="0" applyFont="1" applyFill="1" applyAlignment="1">
      <alignment vertical="center"/>
    </xf>
    <xf numFmtId="3" fontId="11" fillId="7" borderId="0" xfId="0" applyNumberFormat="1" applyFont="1" applyFill="1" applyAlignment="1">
      <alignment vertical="center" wrapText="1"/>
    </xf>
    <xf numFmtId="3" fontId="10" fillId="2" borderId="0" xfId="0" applyNumberFormat="1" applyFont="1" applyFill="1" applyBorder="1" applyAlignment="1">
      <alignment vertical="center"/>
    </xf>
    <xf numFmtId="3" fontId="9" fillId="3" borderId="1" xfId="2" applyNumberFormat="1" applyFont="1" applyFill="1" applyBorder="1" applyAlignment="1">
      <alignment horizontal="center" vertical="center" wrapText="1"/>
    </xf>
    <xf numFmtId="0" fontId="11" fillId="7" borderId="0" xfId="0" applyFont="1" applyFill="1" applyAlignment="1">
      <alignment horizontal="left" vertical="center" wrapText="1"/>
    </xf>
    <xf numFmtId="9" fontId="3" fillId="2" borderId="0" xfId="8" applyFont="1" applyFill="1" applyAlignment="1">
      <alignment horizontal="left" vertical="center"/>
    </xf>
    <xf numFmtId="0" fontId="11" fillId="10" borderId="0" xfId="0" applyFont="1" applyFill="1" applyAlignment="1">
      <alignment vertical="center" wrapText="1"/>
    </xf>
    <xf numFmtId="0" fontId="11" fillId="10" borderId="0" xfId="0" applyFont="1" applyFill="1" applyAlignment="1">
      <alignment horizontal="left" vertical="center" wrapText="1"/>
    </xf>
    <xf numFmtId="3" fontId="3" fillId="2" borderId="1" xfId="6" applyNumberFormat="1" applyFont="1" applyFill="1" applyBorder="1" applyAlignment="1">
      <alignment vertical="center"/>
    </xf>
    <xf numFmtId="0" fontId="11" fillId="7" borderId="0" xfId="0" applyFont="1" applyFill="1" applyAlignment="1">
      <alignment horizontal="left" vertical="center" wrapText="1"/>
    </xf>
    <xf numFmtId="49" fontId="4" fillId="9" borderId="2" xfId="0" applyNumberFormat="1" applyFont="1" applyFill="1" applyBorder="1" applyAlignment="1">
      <alignment horizontal="center" vertical="center" wrapText="1"/>
    </xf>
    <xf numFmtId="49" fontId="4" fillId="9" borderId="4" xfId="0" applyNumberFormat="1" applyFont="1" applyFill="1" applyBorder="1" applyAlignment="1">
      <alignment horizontal="center" vertical="center" wrapText="1"/>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49" fontId="4" fillId="6" borderId="11" xfId="0" applyNumberFormat="1" applyFont="1" applyFill="1" applyBorder="1" applyAlignment="1">
      <alignment horizontal="center" vertical="center" wrapText="1"/>
    </xf>
    <xf numFmtId="49" fontId="4" fillId="6" borderId="10" xfId="0" applyNumberFormat="1" applyFont="1" applyFill="1" applyBorder="1" applyAlignment="1">
      <alignment horizontal="center" vertical="center" wrapText="1"/>
    </xf>
    <xf numFmtId="49" fontId="4" fillId="6" borderId="9" xfId="0" applyNumberFormat="1" applyFont="1" applyFill="1" applyBorder="1" applyAlignment="1">
      <alignment horizontal="center" vertical="center" wrapText="1"/>
    </xf>
    <xf numFmtId="49" fontId="4" fillId="6" borderId="8" xfId="0" applyNumberFormat="1" applyFont="1" applyFill="1" applyBorder="1" applyAlignment="1">
      <alignment horizontal="center" vertical="center" wrapText="1"/>
    </xf>
    <xf numFmtId="49" fontId="4" fillId="6" borderId="2" xfId="0" applyNumberFormat="1" applyFont="1" applyFill="1" applyBorder="1" applyAlignment="1">
      <alignment horizontal="center" vertical="center" wrapText="1"/>
    </xf>
    <xf numFmtId="49" fontId="4" fillId="6" borderId="4" xfId="0" applyNumberFormat="1" applyFont="1" applyFill="1" applyBorder="1" applyAlignment="1">
      <alignment horizontal="center" vertical="center" wrapText="1"/>
    </xf>
    <xf numFmtId="0" fontId="1" fillId="10" borderId="0" xfId="0" applyFont="1" applyFill="1" applyBorder="1" applyAlignment="1">
      <alignment horizontal="justify" vertical="center" wrapText="1"/>
    </xf>
    <xf numFmtId="0" fontId="2" fillId="2" borderId="0" xfId="0" applyFont="1" applyFill="1" applyBorder="1" applyAlignment="1">
      <alignment horizontal="justify" vertical="center" wrapText="1"/>
    </xf>
    <xf numFmtId="0" fontId="1" fillId="2" borderId="0" xfId="0" applyFont="1" applyFill="1" applyBorder="1" applyAlignment="1">
      <alignment horizontal="justify" vertical="center" wrapText="1"/>
    </xf>
    <xf numFmtId="49" fontId="2" fillId="10" borderId="0" xfId="0" applyNumberFormat="1" applyFont="1" applyFill="1" applyBorder="1" applyAlignment="1">
      <alignment horizontal="left" vertical="center"/>
    </xf>
    <xf numFmtId="0" fontId="1" fillId="10" borderId="0" xfId="0" applyFont="1" applyFill="1" applyBorder="1" applyAlignment="1">
      <alignment horizontal="left" vertical="center" wrapText="1"/>
    </xf>
    <xf numFmtId="49" fontId="2" fillId="0" borderId="0" xfId="0" applyNumberFormat="1" applyFont="1" applyFill="1" applyBorder="1" applyAlignment="1">
      <alignment horizontal="left" vertical="center" wrapText="1"/>
    </xf>
    <xf numFmtId="0" fontId="9" fillId="4" borderId="2" xfId="2" applyFont="1" applyFill="1" applyBorder="1" applyAlignment="1">
      <alignment horizontal="center" vertical="center"/>
    </xf>
    <xf numFmtId="0" fontId="9" fillId="4" borderId="3" xfId="2" applyFont="1" applyFill="1" applyBorder="1" applyAlignment="1">
      <alignment horizontal="center" vertical="center"/>
    </xf>
    <xf numFmtId="0" fontId="9" fillId="4" borderId="4" xfId="2" applyFont="1" applyFill="1" applyBorder="1" applyAlignment="1">
      <alignment horizontal="center" vertical="center"/>
    </xf>
    <xf numFmtId="0" fontId="9" fillId="8" borderId="2" xfId="2" applyFont="1" applyFill="1" applyBorder="1" applyAlignment="1">
      <alignment horizontal="center" vertical="center"/>
    </xf>
    <xf numFmtId="0" fontId="9" fillId="8" borderId="3" xfId="2" applyFont="1" applyFill="1" applyBorder="1" applyAlignment="1">
      <alignment horizontal="center" vertical="center"/>
    </xf>
    <xf numFmtId="0" fontId="9" fillId="8" borderId="4" xfId="2" applyFont="1" applyFill="1" applyBorder="1" applyAlignment="1">
      <alignment horizontal="center" vertic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49" fontId="1" fillId="10" borderId="0" xfId="0" applyNumberFormat="1" applyFont="1" applyFill="1" applyBorder="1" applyAlignment="1">
      <alignment horizontal="left" vertical="center" wrapText="1"/>
    </xf>
  </cellXfs>
  <cellStyles count="9">
    <cellStyle name="Millares 2" xfId="1"/>
    <cellStyle name="Normal" xfId="0" builtinId="0"/>
    <cellStyle name="Normal 2" xfId="2"/>
    <cellStyle name="Normal 2 2" xfId="3"/>
    <cellStyle name="Normal 2 3" xfId="4"/>
    <cellStyle name="Normal 3" xfId="5"/>
    <cellStyle name="Normal 3 2" xfId="6"/>
    <cellStyle name="Porcentaje" xfId="8" builtinId="5"/>
    <cellStyle name="Porcentaje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B54"/>
  <sheetViews>
    <sheetView tabSelected="1" zoomScale="80" zoomScaleNormal="80" workbookViewId="0"/>
  </sheetViews>
  <sheetFormatPr baseColWidth="10" defaultRowHeight="14.25" x14ac:dyDescent="0.25"/>
  <cols>
    <col min="1" max="1" width="4.140625" style="31" customWidth="1"/>
    <col min="2" max="2" width="33" style="13" customWidth="1"/>
    <col min="3" max="4" width="49.42578125" style="13" bestFit="1" customWidth="1"/>
    <col min="5" max="5" width="44.42578125" style="13" customWidth="1"/>
    <col min="6" max="6" width="49.28515625" style="13" customWidth="1"/>
    <col min="7" max="16384" width="11.42578125" style="13"/>
  </cols>
  <sheetData>
    <row r="1" spans="1:236" x14ac:dyDescent="0.25">
      <c r="A1" s="58" t="s">
        <v>4</v>
      </c>
      <c r="B1" s="58"/>
      <c r="C1" s="58"/>
      <c r="D1" s="58"/>
      <c r="F1" s="31"/>
      <c r="G1" s="31"/>
    </row>
    <row r="2" spans="1:236" s="31" customFormat="1" ht="30" customHeight="1" x14ac:dyDescent="0.25">
      <c r="A2" s="69" t="s">
        <v>83</v>
      </c>
      <c r="B2" s="69"/>
      <c r="C2" s="69"/>
      <c r="D2" s="69"/>
      <c r="E2" s="48"/>
      <c r="F2" s="28"/>
      <c r="G2" s="48"/>
    </row>
    <row r="3" spans="1:236" x14ac:dyDescent="0.25">
      <c r="A3" s="58" t="s">
        <v>75</v>
      </c>
      <c r="B3" s="58"/>
      <c r="C3" s="58"/>
      <c r="D3" s="58"/>
      <c r="E3" s="28"/>
      <c r="F3" s="4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row>
    <row r="4" spans="1:236" x14ac:dyDescent="0.25">
      <c r="A4" s="58" t="s">
        <v>5</v>
      </c>
      <c r="B4" s="58"/>
      <c r="C4" s="58"/>
      <c r="D4" s="58"/>
      <c r="E4" s="28"/>
      <c r="F4" s="48"/>
      <c r="G4" s="31"/>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row>
    <row r="5" spans="1:236" x14ac:dyDescent="0.25">
      <c r="A5" s="58" t="s">
        <v>6</v>
      </c>
      <c r="B5" s="58"/>
      <c r="C5" s="58"/>
      <c r="D5" s="58"/>
      <c r="E5" s="28"/>
      <c r="F5" s="48"/>
      <c r="G5" s="31"/>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row>
    <row r="6" spans="1:236" x14ac:dyDescent="0.25">
      <c r="A6" s="59" t="s">
        <v>90</v>
      </c>
      <c r="B6" s="59"/>
      <c r="C6" s="59"/>
      <c r="D6" s="59"/>
      <c r="E6" s="28"/>
      <c r="F6" s="48"/>
      <c r="G6" s="31"/>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row>
    <row r="7" spans="1:236" s="31" customFormat="1" x14ac:dyDescent="0.25">
      <c r="A7" s="59" t="s">
        <v>102</v>
      </c>
      <c r="B7" s="59"/>
      <c r="C7" s="59"/>
      <c r="D7" s="59"/>
      <c r="E7" s="66"/>
      <c r="F7" s="67"/>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c r="HM7" s="66"/>
      <c r="HN7" s="66"/>
      <c r="HO7" s="66"/>
      <c r="HP7" s="66"/>
      <c r="HQ7" s="66"/>
      <c r="HR7" s="66"/>
      <c r="HS7" s="66"/>
      <c r="HT7" s="66"/>
      <c r="HU7" s="66"/>
      <c r="HV7" s="66"/>
      <c r="HW7" s="66"/>
      <c r="HX7" s="66"/>
      <c r="HY7" s="66"/>
      <c r="HZ7" s="66"/>
      <c r="IA7" s="66"/>
    </row>
    <row r="8" spans="1:236" x14ac:dyDescent="0.25">
      <c r="A8" s="60" t="s">
        <v>39</v>
      </c>
      <c r="B8" s="60"/>
      <c r="C8" s="60"/>
      <c r="D8" s="60"/>
      <c r="E8" s="28"/>
      <c r="F8" s="48"/>
      <c r="G8" s="31"/>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row>
    <row r="9" spans="1:236" x14ac:dyDescent="0.25">
      <c r="A9" s="59" t="s">
        <v>92</v>
      </c>
      <c r="B9" s="59"/>
      <c r="C9" s="59"/>
      <c r="D9" s="59"/>
      <c r="E9" s="28"/>
      <c r="F9" s="4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row>
    <row r="10" spans="1:236" s="31" customFormat="1" x14ac:dyDescent="0.25">
      <c r="A10" s="58" t="s">
        <v>89</v>
      </c>
      <c r="B10" s="58"/>
      <c r="C10" s="58"/>
      <c r="D10" s="58"/>
      <c r="E10" s="28"/>
      <c r="F10" s="54"/>
      <c r="H10" s="64"/>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69"/>
      <c r="HU10" s="69"/>
      <c r="HV10" s="69"/>
      <c r="HW10" s="69"/>
      <c r="HX10" s="69"/>
      <c r="HY10" s="69"/>
      <c r="HZ10" s="69"/>
      <c r="IA10" s="69"/>
      <c r="IB10" s="69"/>
    </row>
    <row r="11" spans="1:236" x14ac:dyDescent="0.25">
      <c r="E11" s="28"/>
      <c r="F11" s="54"/>
    </row>
    <row r="12" spans="1:236" ht="15" x14ac:dyDescent="0.25">
      <c r="A12" s="72" t="s">
        <v>16</v>
      </c>
      <c r="B12" s="72"/>
      <c r="C12" s="73"/>
      <c r="E12" s="57"/>
    </row>
    <row r="13" spans="1:236" ht="15" x14ac:dyDescent="0.25">
      <c r="A13" s="49" t="s">
        <v>43</v>
      </c>
      <c r="B13" s="16" t="s">
        <v>66</v>
      </c>
      <c r="C13" s="52" t="s">
        <v>91</v>
      </c>
      <c r="E13" s="57"/>
    </row>
    <row r="14" spans="1:236" s="31" customFormat="1" ht="15" x14ac:dyDescent="0.25">
      <c r="A14" s="55" t="s">
        <v>44</v>
      </c>
      <c r="B14" s="56" t="s">
        <v>74</v>
      </c>
      <c r="C14" s="52" t="s">
        <v>71</v>
      </c>
      <c r="E14" s="57"/>
    </row>
    <row r="15" spans="1:236" ht="15" x14ac:dyDescent="0.25">
      <c r="A15" s="49" t="s">
        <v>45</v>
      </c>
      <c r="B15" s="1" t="s">
        <v>67</v>
      </c>
      <c r="C15" s="10">
        <v>1000000</v>
      </c>
      <c r="E15" s="57"/>
    </row>
    <row r="16" spans="1:236" s="31" customFormat="1" ht="15" x14ac:dyDescent="0.25">
      <c r="A16" s="50" t="s">
        <v>46</v>
      </c>
      <c r="B16" s="40" t="s">
        <v>56</v>
      </c>
      <c r="C16" s="10">
        <v>186161</v>
      </c>
      <c r="E16" s="57"/>
      <c r="F16" s="65"/>
    </row>
    <row r="17" spans="1:6" ht="15" x14ac:dyDescent="0.25">
      <c r="A17" s="50" t="s">
        <v>47</v>
      </c>
      <c r="B17" s="1" t="s">
        <v>57</v>
      </c>
      <c r="C17" s="11">
        <v>186161</v>
      </c>
      <c r="D17" s="14"/>
      <c r="E17" s="57"/>
      <c r="F17" s="65"/>
    </row>
    <row r="18" spans="1:6" ht="15" x14ac:dyDescent="0.25">
      <c r="A18" s="50" t="s">
        <v>48</v>
      </c>
      <c r="B18" s="8" t="s">
        <v>58</v>
      </c>
      <c r="C18" s="11">
        <v>813839</v>
      </c>
      <c r="E18" s="57"/>
      <c r="F18" s="54"/>
    </row>
    <row r="19" spans="1:6" ht="15" x14ac:dyDescent="0.25">
      <c r="A19" s="50" t="s">
        <v>49</v>
      </c>
      <c r="B19" s="8" t="s">
        <v>59</v>
      </c>
      <c r="C19" s="11">
        <v>186161</v>
      </c>
      <c r="E19" s="57"/>
    </row>
    <row r="20" spans="1:6" ht="15" x14ac:dyDescent="0.25">
      <c r="A20" s="50" t="s">
        <v>50</v>
      </c>
      <c r="B20" s="8" t="s">
        <v>60</v>
      </c>
      <c r="C20" s="11">
        <v>95675</v>
      </c>
      <c r="E20" s="57"/>
    </row>
    <row r="21" spans="1:6" ht="15" x14ac:dyDescent="0.25">
      <c r="A21" s="50" t="s">
        <v>51</v>
      </c>
      <c r="B21" s="1" t="s">
        <v>61</v>
      </c>
      <c r="C21" s="17">
        <v>90486</v>
      </c>
      <c r="E21" s="57"/>
    </row>
    <row r="22" spans="1:6" ht="15" x14ac:dyDescent="0.25">
      <c r="A22" s="50" t="s">
        <v>52</v>
      </c>
      <c r="B22" s="1" t="s">
        <v>62</v>
      </c>
      <c r="C22" s="17">
        <v>0</v>
      </c>
      <c r="E22" s="57"/>
    </row>
    <row r="23" spans="1:6" ht="15" x14ac:dyDescent="0.25">
      <c r="A23" s="50" t="s">
        <v>53</v>
      </c>
      <c r="B23" s="8" t="s">
        <v>63</v>
      </c>
      <c r="C23" s="27">
        <v>813839</v>
      </c>
      <c r="D23" s="31"/>
      <c r="E23" s="57"/>
      <c r="F23" s="31"/>
    </row>
    <row r="24" spans="1:6" ht="15" x14ac:dyDescent="0.25">
      <c r="A24" s="50" t="s">
        <v>72</v>
      </c>
      <c r="B24" s="1" t="s">
        <v>64</v>
      </c>
      <c r="C24" s="12">
        <v>9.5674999999999996E-2</v>
      </c>
      <c r="E24" s="57"/>
    </row>
    <row r="26" spans="1:6" ht="15" customHeight="1" x14ac:dyDescent="0.25">
      <c r="A26" s="74" t="s">
        <v>21</v>
      </c>
      <c r="B26" s="75"/>
      <c r="C26" s="78" t="s">
        <v>32</v>
      </c>
      <c r="D26" s="79"/>
      <c r="E26" s="70" t="s">
        <v>30</v>
      </c>
      <c r="F26" s="71"/>
    </row>
    <row r="27" spans="1:6" ht="14.25" customHeight="1" x14ac:dyDescent="0.25">
      <c r="A27" s="76"/>
      <c r="B27" s="77"/>
      <c r="C27" s="15" t="s">
        <v>28</v>
      </c>
      <c r="D27" s="15" t="s">
        <v>27</v>
      </c>
      <c r="E27" s="29" t="s">
        <v>28</v>
      </c>
      <c r="F27" s="32" t="s">
        <v>27</v>
      </c>
    </row>
    <row r="28" spans="1:6" ht="15" x14ac:dyDescent="0.25">
      <c r="A28" s="51" t="s">
        <v>54</v>
      </c>
      <c r="B28" s="7" t="s">
        <v>68</v>
      </c>
      <c r="C28" s="52" t="s">
        <v>91</v>
      </c>
      <c r="D28" s="52" t="s">
        <v>91</v>
      </c>
      <c r="E28" s="53" t="s">
        <v>94</v>
      </c>
      <c r="F28" s="53" t="s">
        <v>93</v>
      </c>
    </row>
    <row r="29" spans="1:6" ht="15" x14ac:dyDescent="0.25">
      <c r="A29" s="50" t="s">
        <v>55</v>
      </c>
      <c r="B29" s="1" t="s">
        <v>69</v>
      </c>
      <c r="C29" s="10">
        <v>900000</v>
      </c>
      <c r="D29" s="10">
        <v>100000</v>
      </c>
      <c r="E29" s="17">
        <v>713839</v>
      </c>
      <c r="F29" s="17">
        <v>100000</v>
      </c>
    </row>
    <row r="30" spans="1:6" s="31" customFormat="1" ht="15" x14ac:dyDescent="0.25">
      <c r="A30" s="50" t="s">
        <v>46</v>
      </c>
      <c r="B30" s="40" t="s">
        <v>56</v>
      </c>
      <c r="C30" s="10">
        <v>186161</v>
      </c>
      <c r="D30" s="10">
        <v>0</v>
      </c>
      <c r="E30" s="10">
        <v>0</v>
      </c>
      <c r="F30" s="10">
        <v>0</v>
      </c>
    </row>
    <row r="31" spans="1:6" s="31" customFormat="1" ht="15" x14ac:dyDescent="0.25">
      <c r="A31" s="50" t="s">
        <v>47</v>
      </c>
      <c r="B31" s="1" t="s">
        <v>57</v>
      </c>
      <c r="C31" s="17">
        <v>186161</v>
      </c>
      <c r="D31" s="17">
        <v>0</v>
      </c>
      <c r="E31" s="17">
        <v>0</v>
      </c>
      <c r="F31" s="17">
        <v>0</v>
      </c>
    </row>
    <row r="32" spans="1:6" ht="15" x14ac:dyDescent="0.25">
      <c r="A32" s="50" t="s">
        <v>48</v>
      </c>
      <c r="B32" s="8" t="s">
        <v>58</v>
      </c>
      <c r="C32" s="17">
        <v>713839</v>
      </c>
      <c r="D32" s="68">
        <v>100000</v>
      </c>
      <c r="E32" s="20">
        <v>713839</v>
      </c>
      <c r="F32" s="20">
        <v>100000</v>
      </c>
    </row>
    <row r="33" spans="1:7" ht="15" x14ac:dyDescent="0.25">
      <c r="A33" s="50" t="s">
        <v>49</v>
      </c>
      <c r="B33" s="8" t="s">
        <v>59</v>
      </c>
      <c r="C33" s="17">
        <v>186161</v>
      </c>
      <c r="D33" s="17">
        <v>0</v>
      </c>
      <c r="E33" s="17">
        <v>0</v>
      </c>
      <c r="F33" s="17">
        <v>0</v>
      </c>
    </row>
    <row r="34" spans="1:7" ht="15" x14ac:dyDescent="0.25">
      <c r="A34" s="50" t="s">
        <v>50</v>
      </c>
      <c r="B34" s="8" t="s">
        <v>60</v>
      </c>
      <c r="C34" s="17">
        <v>95675</v>
      </c>
      <c r="D34" s="17">
        <v>0</v>
      </c>
      <c r="E34" s="17">
        <v>0</v>
      </c>
      <c r="F34" s="17">
        <v>0</v>
      </c>
    </row>
    <row r="35" spans="1:7" ht="15" x14ac:dyDescent="0.25">
      <c r="A35" s="50" t="s">
        <v>51</v>
      </c>
      <c r="B35" s="1" t="s">
        <v>61</v>
      </c>
      <c r="C35" s="11">
        <v>90486</v>
      </c>
      <c r="D35" s="11">
        <v>0</v>
      </c>
      <c r="E35" s="11">
        <v>0</v>
      </c>
      <c r="F35" s="11">
        <v>0</v>
      </c>
    </row>
    <row r="36" spans="1:7" ht="15" x14ac:dyDescent="0.25">
      <c r="A36" s="50" t="s">
        <v>53</v>
      </c>
      <c r="B36" s="1" t="s">
        <v>62</v>
      </c>
      <c r="C36" s="17">
        <v>0</v>
      </c>
      <c r="D36" s="17">
        <v>0</v>
      </c>
      <c r="E36" s="17">
        <v>0</v>
      </c>
      <c r="F36" s="17">
        <v>0</v>
      </c>
      <c r="G36" s="14"/>
    </row>
    <row r="37" spans="1:7" ht="16.5" customHeight="1" x14ac:dyDescent="0.25">
      <c r="A37" s="50" t="s">
        <v>72</v>
      </c>
      <c r="B37" s="1" t="s">
        <v>64</v>
      </c>
      <c r="C37" s="12">
        <v>0.10630555555555556</v>
      </c>
      <c r="D37" s="12">
        <v>0</v>
      </c>
      <c r="E37" s="12">
        <v>0</v>
      </c>
      <c r="F37" s="12">
        <v>0</v>
      </c>
    </row>
    <row r="38" spans="1:7" ht="15" customHeight="1" x14ac:dyDescent="0.25"/>
    <row r="39" spans="1:7" s="31" customFormat="1" ht="15" x14ac:dyDescent="0.25">
      <c r="A39" s="83" t="s">
        <v>7</v>
      </c>
      <c r="B39" s="83"/>
      <c r="C39" s="83"/>
      <c r="D39" s="83"/>
    </row>
    <row r="40" spans="1:7" s="31" customFormat="1" ht="20.100000000000001" customHeight="1" x14ac:dyDescent="0.25">
      <c r="A40" s="84" t="s">
        <v>37</v>
      </c>
      <c r="B40" s="84"/>
      <c r="C40" s="84"/>
      <c r="D40" s="84"/>
    </row>
    <row r="41" spans="1:7" s="31" customFormat="1" ht="20.100000000000001" customHeight="1" x14ac:dyDescent="0.25">
      <c r="A41" s="84" t="s">
        <v>70</v>
      </c>
      <c r="B41" s="84"/>
      <c r="C41" s="84"/>
      <c r="D41" s="84"/>
    </row>
    <row r="42" spans="1:7" s="31" customFormat="1" ht="20.100000000000001" customHeight="1" x14ac:dyDescent="0.25">
      <c r="A42" s="84" t="s">
        <v>38</v>
      </c>
      <c r="B42" s="84"/>
      <c r="C42" s="84"/>
      <c r="D42" s="84"/>
    </row>
    <row r="43" spans="1:7" s="31" customFormat="1" ht="66" customHeight="1" x14ac:dyDescent="0.25">
      <c r="A43" s="85" t="s">
        <v>84</v>
      </c>
      <c r="B43" s="85"/>
      <c r="C43" s="85"/>
      <c r="D43" s="85"/>
    </row>
    <row r="44" spans="1:7" s="31" customFormat="1" ht="20.100000000000001" customHeight="1" x14ac:dyDescent="0.25">
      <c r="A44" s="84" t="s">
        <v>73</v>
      </c>
      <c r="B44" s="84"/>
      <c r="C44" s="84"/>
      <c r="D44" s="84"/>
    </row>
    <row r="45" spans="1:7" s="31" customFormat="1" ht="66" customHeight="1" x14ac:dyDescent="0.25">
      <c r="A45" s="80" t="s">
        <v>76</v>
      </c>
      <c r="B45" s="80"/>
      <c r="C45" s="80"/>
      <c r="D45" s="80"/>
    </row>
    <row r="46" spans="1:7" s="31" customFormat="1" ht="72.75" customHeight="1" x14ac:dyDescent="0.25">
      <c r="A46" s="81" t="s">
        <v>77</v>
      </c>
      <c r="B46" s="81"/>
      <c r="C46" s="81"/>
      <c r="D46" s="81"/>
    </row>
    <row r="47" spans="1:7" s="31" customFormat="1" ht="60" customHeight="1" x14ac:dyDescent="0.25">
      <c r="A47" s="81" t="s">
        <v>78</v>
      </c>
      <c r="B47" s="81"/>
      <c r="C47" s="81"/>
      <c r="D47" s="81"/>
    </row>
    <row r="48" spans="1:7" s="31" customFormat="1" ht="62.25" customHeight="1" x14ac:dyDescent="0.25">
      <c r="A48" s="82" t="s">
        <v>79</v>
      </c>
      <c r="B48" s="82"/>
      <c r="C48" s="82"/>
      <c r="D48" s="82"/>
    </row>
    <row r="49" spans="1:4" s="31" customFormat="1" ht="72.75" customHeight="1" x14ac:dyDescent="0.25">
      <c r="A49" s="82" t="s">
        <v>87</v>
      </c>
      <c r="B49" s="82"/>
      <c r="C49" s="82"/>
      <c r="D49" s="82"/>
    </row>
    <row r="50" spans="1:4" s="31" customFormat="1" ht="68.25" customHeight="1" x14ac:dyDescent="0.25">
      <c r="A50" s="82" t="s">
        <v>88</v>
      </c>
      <c r="B50" s="82"/>
      <c r="C50" s="82"/>
      <c r="D50" s="82"/>
    </row>
    <row r="51" spans="1:4" s="31" customFormat="1" ht="71.25" customHeight="1" x14ac:dyDescent="0.25">
      <c r="A51" s="82" t="s">
        <v>80</v>
      </c>
      <c r="B51" s="82"/>
      <c r="C51" s="82"/>
      <c r="D51" s="82"/>
    </row>
    <row r="52" spans="1:4" s="31" customFormat="1" ht="54" customHeight="1" x14ac:dyDescent="0.25">
      <c r="A52" s="81" t="s">
        <v>81</v>
      </c>
      <c r="B52" s="82"/>
      <c r="C52" s="82"/>
      <c r="D52" s="82"/>
    </row>
    <row r="53" spans="1:4" s="31" customFormat="1" ht="54" customHeight="1" x14ac:dyDescent="0.25">
      <c r="A53" s="80" t="s">
        <v>82</v>
      </c>
      <c r="B53" s="80"/>
      <c r="C53" s="80"/>
      <c r="D53" s="80"/>
    </row>
    <row r="54" spans="1:4" ht="30" customHeight="1" x14ac:dyDescent="0.25"/>
  </sheetData>
  <mergeCells count="77">
    <mergeCell ref="A2:D2"/>
    <mergeCell ref="A53:D53"/>
    <mergeCell ref="A52:D52"/>
    <mergeCell ref="A47:D47"/>
    <mergeCell ref="A48:D48"/>
    <mergeCell ref="A49:D49"/>
    <mergeCell ref="A50:D50"/>
    <mergeCell ref="A51:D51"/>
    <mergeCell ref="A46:D46"/>
    <mergeCell ref="A39:D39"/>
    <mergeCell ref="A44:D44"/>
    <mergeCell ref="A41:D41"/>
    <mergeCell ref="A42:D42"/>
    <mergeCell ref="A43:D43"/>
    <mergeCell ref="A40:D40"/>
    <mergeCell ref="A45:D45"/>
    <mergeCell ref="I10:L10"/>
    <mergeCell ref="E26:F26"/>
    <mergeCell ref="A12:C12"/>
    <mergeCell ref="A26:B27"/>
    <mergeCell ref="C26:D26"/>
    <mergeCell ref="M10:P10"/>
    <mergeCell ref="Q10:T10"/>
    <mergeCell ref="U10:X10"/>
    <mergeCell ref="Y10:AB10"/>
    <mergeCell ref="AC10:AF10"/>
    <mergeCell ref="AG10:AJ10"/>
    <mergeCell ref="AK10:AN10"/>
    <mergeCell ref="AO10:AR10"/>
    <mergeCell ref="AS10:AV10"/>
    <mergeCell ref="AW10:AZ10"/>
    <mergeCell ref="BA10:BD10"/>
    <mergeCell ref="BE10:BH10"/>
    <mergeCell ref="BI10:BL10"/>
    <mergeCell ref="BM10:BP10"/>
    <mergeCell ref="BQ10:BT10"/>
    <mergeCell ref="BU10:BX10"/>
    <mergeCell ref="BY10:CB10"/>
    <mergeCell ref="CC10:CF10"/>
    <mergeCell ref="CG10:CJ10"/>
    <mergeCell ref="CK10:CN10"/>
    <mergeCell ref="CO10:CR10"/>
    <mergeCell ref="CS10:CV10"/>
    <mergeCell ref="CW10:CZ10"/>
    <mergeCell ref="DA10:DD10"/>
    <mergeCell ref="DE10:DH10"/>
    <mergeCell ref="DI10:DL10"/>
    <mergeCell ref="DM10:DP10"/>
    <mergeCell ref="DQ10:DT10"/>
    <mergeCell ref="DU10:DX10"/>
    <mergeCell ref="DY10:EB10"/>
    <mergeCell ref="EC10:EF10"/>
    <mergeCell ref="EG10:EJ10"/>
    <mergeCell ref="EK10:EN10"/>
    <mergeCell ref="EO10:ER10"/>
    <mergeCell ref="ES10:EV10"/>
    <mergeCell ref="EW10:EZ10"/>
    <mergeCell ref="FA10:FD10"/>
    <mergeCell ref="FE10:FH10"/>
    <mergeCell ref="FI10:FL10"/>
    <mergeCell ref="FM10:FP10"/>
    <mergeCell ref="FQ10:FT10"/>
    <mergeCell ref="FU10:FX10"/>
    <mergeCell ref="FY10:GB10"/>
    <mergeCell ref="GC10:GF10"/>
    <mergeCell ref="GG10:GJ10"/>
    <mergeCell ref="GK10:GN10"/>
    <mergeCell ref="GO10:GR10"/>
    <mergeCell ref="HM10:HP10"/>
    <mergeCell ref="HQ10:HT10"/>
    <mergeCell ref="HU10:HX10"/>
    <mergeCell ref="HY10:IB10"/>
    <mergeCell ref="GS10:GV10"/>
    <mergeCell ref="GW10:GZ10"/>
    <mergeCell ref="HA10:HD10"/>
    <mergeCell ref="HE10:HH10"/>
    <mergeCell ref="HI10:HL10"/>
  </mergeCells>
  <pageMargins left="0.70866141732283472" right="0.70866141732283472" top="0.74803149606299213" bottom="0.74803149606299213" header="0.31496062992125984" footer="0.31496062992125984"/>
  <pageSetup scale="3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1"/>
  <sheetViews>
    <sheetView topLeftCell="A13" zoomScale="80" zoomScaleNormal="80" workbookViewId="0">
      <selection activeCell="A17" sqref="A17:E17"/>
    </sheetView>
  </sheetViews>
  <sheetFormatPr baseColWidth="10" defaultRowHeight="14.25" x14ac:dyDescent="0.25"/>
  <cols>
    <col min="1" max="1" width="66.140625" style="13" customWidth="1"/>
    <col min="2" max="2" width="22.140625" style="13" bestFit="1" customWidth="1"/>
    <col min="3" max="3" width="21.5703125" style="13" bestFit="1" customWidth="1"/>
    <col min="4" max="4" width="33" style="13" bestFit="1" customWidth="1"/>
    <col min="5" max="5" width="14.28515625" style="31" bestFit="1" customWidth="1"/>
    <col min="6" max="6" width="15.42578125" style="14" customWidth="1"/>
    <col min="7" max="7" width="23.85546875" style="13" customWidth="1"/>
    <col min="8" max="8" width="13.42578125" style="13" customWidth="1"/>
    <col min="9" max="9" width="23.7109375" style="14" customWidth="1"/>
    <col min="10" max="10" width="20" style="13" bestFit="1" customWidth="1"/>
    <col min="11" max="11" width="23.140625" style="13" bestFit="1" customWidth="1"/>
    <col min="12" max="12" width="18.42578125" style="13" customWidth="1"/>
    <col min="13" max="13" width="26.140625" style="30" bestFit="1" customWidth="1"/>
    <col min="14" max="14" width="21.5703125" style="14" customWidth="1"/>
    <col min="15" max="15" width="17.5703125" style="13" customWidth="1"/>
    <col min="16" max="16" width="22.7109375" style="13" customWidth="1"/>
    <col min="17" max="17" width="18.7109375" style="13" customWidth="1"/>
    <col min="18" max="18" width="31.5703125" style="13" customWidth="1"/>
    <col min="19" max="19" width="20.42578125" style="13" customWidth="1"/>
    <col min="20" max="20" width="20" style="13" bestFit="1" customWidth="1"/>
    <col min="21" max="16384" width="11.42578125" style="13"/>
  </cols>
  <sheetData>
    <row r="1" spans="1:256" x14ac:dyDescent="0.25">
      <c r="A1" s="59" t="s">
        <v>18</v>
      </c>
      <c r="B1" s="59"/>
      <c r="C1" s="59"/>
      <c r="D1" s="59"/>
      <c r="E1" s="37"/>
    </row>
    <row r="2" spans="1:256" ht="30" customHeight="1" x14ac:dyDescent="0.25">
      <c r="A2" s="69" t="s">
        <v>83</v>
      </c>
      <c r="B2" s="69"/>
      <c r="C2" s="69"/>
      <c r="D2" s="69"/>
      <c r="E2" s="35"/>
      <c r="F2" s="61"/>
      <c r="G2" s="19"/>
      <c r="H2" s="26"/>
    </row>
    <row r="3" spans="1:256" x14ac:dyDescent="0.25">
      <c r="A3" s="58" t="s">
        <v>75</v>
      </c>
      <c r="B3" s="58"/>
      <c r="C3" s="58"/>
      <c r="D3" s="58"/>
      <c r="E3" s="35"/>
      <c r="F3" s="61"/>
      <c r="G3" s="19"/>
      <c r="H3" s="26"/>
    </row>
    <row r="4" spans="1:256" x14ac:dyDescent="0.25">
      <c r="A4" s="58" t="s">
        <v>5</v>
      </c>
      <c r="B4" s="58"/>
      <c r="C4" s="58"/>
      <c r="D4" s="58"/>
      <c r="E4" s="35"/>
      <c r="F4" s="61"/>
      <c r="G4" s="19"/>
      <c r="H4" s="26"/>
    </row>
    <row r="5" spans="1:256" x14ac:dyDescent="0.25">
      <c r="A5" s="58" t="s">
        <v>6</v>
      </c>
      <c r="B5" s="58"/>
      <c r="C5" s="58"/>
      <c r="D5" s="58"/>
      <c r="E5" s="38"/>
    </row>
    <row r="6" spans="1:256" x14ac:dyDescent="0.25">
      <c r="A6" s="59" t="s">
        <v>90</v>
      </c>
      <c r="B6" s="59"/>
      <c r="C6" s="59"/>
      <c r="D6" s="59"/>
      <c r="E6" s="35"/>
    </row>
    <row r="7" spans="1:256" s="31" customFormat="1" x14ac:dyDescent="0.25">
      <c r="A7" s="59" t="s">
        <v>102</v>
      </c>
      <c r="B7" s="59"/>
      <c r="C7" s="59"/>
      <c r="D7" s="59"/>
      <c r="E7" s="43"/>
      <c r="F7" s="14"/>
      <c r="I7" s="14"/>
      <c r="N7" s="14"/>
    </row>
    <row r="8" spans="1:256" x14ac:dyDescent="0.25">
      <c r="A8" s="60" t="s">
        <v>39</v>
      </c>
      <c r="B8" s="60"/>
      <c r="C8" s="60"/>
      <c r="D8" s="60"/>
      <c r="E8" s="36"/>
    </row>
    <row r="9" spans="1:256" x14ac:dyDescent="0.25">
      <c r="A9" s="59" t="s">
        <v>92</v>
      </c>
      <c r="B9" s="59"/>
      <c r="C9" s="59"/>
      <c r="D9" s="59"/>
      <c r="E9" s="35"/>
    </row>
    <row r="10" spans="1:256" s="31" customFormat="1" x14ac:dyDescent="0.25">
      <c r="A10" s="58" t="s">
        <v>89</v>
      </c>
      <c r="B10" s="58"/>
      <c r="C10" s="58"/>
      <c r="D10" s="58"/>
      <c r="F10" s="14"/>
      <c r="I10" s="14"/>
      <c r="N10" s="14"/>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69"/>
      <c r="HU10" s="69"/>
      <c r="HV10" s="69"/>
      <c r="HW10" s="69"/>
      <c r="HX10" s="69"/>
      <c r="HY10" s="69"/>
      <c r="HZ10" s="69"/>
      <c r="IA10" s="69"/>
      <c r="IB10" s="69"/>
      <c r="IC10" s="69"/>
      <c r="ID10" s="69"/>
      <c r="IE10" s="69"/>
      <c r="IF10" s="69"/>
      <c r="IG10" s="69"/>
      <c r="IH10" s="69"/>
      <c r="II10" s="69"/>
      <c r="IJ10" s="69"/>
      <c r="IK10" s="69"/>
      <c r="IL10" s="69"/>
      <c r="IM10" s="69"/>
      <c r="IN10" s="69"/>
      <c r="IO10" s="69"/>
      <c r="IP10" s="69"/>
      <c r="IQ10" s="69"/>
      <c r="IR10" s="69"/>
      <c r="IS10" s="69"/>
      <c r="IT10" s="69"/>
      <c r="IU10" s="69"/>
      <c r="IV10" s="69"/>
    </row>
    <row r="12" spans="1:256" ht="15" x14ac:dyDescent="0.25">
      <c r="A12" s="92" t="s">
        <v>8</v>
      </c>
      <c r="B12" s="93"/>
      <c r="C12" s="93"/>
      <c r="D12" s="93"/>
      <c r="E12" s="94"/>
      <c r="F12" s="89" t="s">
        <v>22</v>
      </c>
      <c r="G12" s="90"/>
      <c r="H12" s="91"/>
      <c r="I12" s="92" t="s">
        <v>15</v>
      </c>
      <c r="J12" s="93"/>
      <c r="K12" s="93"/>
      <c r="L12" s="93"/>
      <c r="M12" s="93"/>
      <c r="N12" s="94"/>
      <c r="O12" s="95" t="s">
        <v>17</v>
      </c>
      <c r="P12" s="96"/>
      <c r="Q12" s="86" t="s">
        <v>9</v>
      </c>
      <c r="R12" s="87"/>
      <c r="S12" s="87"/>
      <c r="T12" s="88"/>
    </row>
    <row r="13" spans="1:256" ht="64.5" x14ac:dyDescent="0.25">
      <c r="A13" s="2" t="s">
        <v>3</v>
      </c>
      <c r="B13" s="2" t="s">
        <v>12</v>
      </c>
      <c r="C13" s="22" t="s">
        <v>1</v>
      </c>
      <c r="D13" s="2" t="s">
        <v>10</v>
      </c>
      <c r="E13" s="2" t="s">
        <v>36</v>
      </c>
      <c r="F13" s="21" t="s">
        <v>23</v>
      </c>
      <c r="G13" s="24" t="s">
        <v>40</v>
      </c>
      <c r="H13" s="21" t="s">
        <v>41</v>
      </c>
      <c r="I13" s="63" t="s">
        <v>33</v>
      </c>
      <c r="J13" s="2" t="s">
        <v>34</v>
      </c>
      <c r="K13" s="2" t="s">
        <v>2</v>
      </c>
      <c r="L13" s="22" t="s">
        <v>35</v>
      </c>
      <c r="M13" s="33" t="s">
        <v>42</v>
      </c>
      <c r="N13" s="63" t="s">
        <v>14</v>
      </c>
      <c r="O13" s="5" t="s">
        <v>19</v>
      </c>
      <c r="P13" s="5" t="s">
        <v>20</v>
      </c>
      <c r="Q13" s="3" t="s">
        <v>13</v>
      </c>
      <c r="R13" s="25" t="s">
        <v>0</v>
      </c>
      <c r="S13" s="25" t="s">
        <v>25</v>
      </c>
      <c r="T13" s="3" t="s">
        <v>26</v>
      </c>
    </row>
    <row r="14" spans="1:256" s="31" customFormat="1" x14ac:dyDescent="0.2">
      <c r="A14" s="47" t="s">
        <v>29</v>
      </c>
      <c r="B14" s="18" t="s">
        <v>28</v>
      </c>
      <c r="C14" s="46" t="s">
        <v>97</v>
      </c>
      <c r="D14" s="46" t="s">
        <v>98</v>
      </c>
      <c r="E14" s="9" t="s">
        <v>15</v>
      </c>
      <c r="F14" s="34">
        <v>186161</v>
      </c>
      <c r="G14" s="34">
        <v>186161</v>
      </c>
      <c r="H14" s="4" t="s">
        <v>31</v>
      </c>
      <c r="I14" s="34">
        <v>186161</v>
      </c>
      <c r="J14" s="46" t="s">
        <v>11</v>
      </c>
      <c r="K14" s="46" t="s">
        <v>99</v>
      </c>
      <c r="L14" s="46" t="s">
        <v>100</v>
      </c>
      <c r="M14" s="46" t="s">
        <v>101</v>
      </c>
      <c r="N14" s="34">
        <v>186161</v>
      </c>
      <c r="O14" s="34">
        <v>95675</v>
      </c>
      <c r="P14" s="34">
        <v>90486</v>
      </c>
      <c r="Q14" s="18"/>
      <c r="R14" s="18"/>
      <c r="S14" s="18"/>
      <c r="T14" s="18"/>
    </row>
    <row r="15" spans="1:256" s="31" customFormat="1" x14ac:dyDescent="0.25">
      <c r="F15" s="14"/>
      <c r="I15" s="14"/>
      <c r="N15" s="14"/>
      <c r="P15" s="14"/>
    </row>
    <row r="16" spans="1:256" s="23" customFormat="1" ht="67.5" customHeight="1" x14ac:dyDescent="0.25">
      <c r="A16" s="98" t="s">
        <v>65</v>
      </c>
      <c r="B16" s="97"/>
      <c r="C16" s="97"/>
      <c r="D16" s="97"/>
      <c r="E16" s="39"/>
      <c r="F16" s="62"/>
      <c r="I16" s="62"/>
      <c r="N16" s="62"/>
    </row>
    <row r="17" spans="1:14" s="23" customFormat="1" ht="39.75" customHeight="1" x14ac:dyDescent="0.25">
      <c r="A17" s="99" t="s">
        <v>96</v>
      </c>
      <c r="B17" s="99"/>
      <c r="C17" s="99"/>
      <c r="D17" s="99"/>
      <c r="E17" s="99"/>
      <c r="F17" s="62"/>
      <c r="I17" s="62"/>
      <c r="N17" s="62"/>
    </row>
    <row r="18" spans="1:14" s="23" customFormat="1" ht="20.100000000000001" customHeight="1" x14ac:dyDescent="0.25">
      <c r="A18" s="97" t="s">
        <v>24</v>
      </c>
      <c r="B18" s="97"/>
      <c r="C18" s="97"/>
      <c r="D18" s="97"/>
      <c r="E18" s="39"/>
      <c r="F18" s="62"/>
      <c r="I18" s="62"/>
      <c r="N18" s="62"/>
    </row>
    <row r="19" spans="1:14" s="31" customFormat="1" x14ac:dyDescent="0.25">
      <c r="F19" s="14"/>
      <c r="I19" s="14"/>
      <c r="N19" s="14"/>
    </row>
    <row r="20" spans="1:14" s="31" customFormat="1" x14ac:dyDescent="0.25">
      <c r="F20" s="14"/>
      <c r="I20" s="14"/>
      <c r="N20" s="14"/>
    </row>
    <row r="21" spans="1:14" s="31" customFormat="1" x14ac:dyDescent="0.25">
      <c r="F21" s="14"/>
      <c r="I21" s="14"/>
      <c r="N21" s="14"/>
    </row>
  </sheetData>
  <mergeCells count="68">
    <mergeCell ref="A2:D2"/>
    <mergeCell ref="F12:H12"/>
    <mergeCell ref="I12:N12"/>
    <mergeCell ref="O12:P12"/>
    <mergeCell ref="A18:D18"/>
    <mergeCell ref="A16:D16"/>
    <mergeCell ref="A12:E12"/>
    <mergeCell ref="A17:E17"/>
    <mergeCell ref="Q12:T12"/>
    <mergeCell ref="U10:X10"/>
    <mergeCell ref="Y10:AB10"/>
    <mergeCell ref="AC10:AF10"/>
    <mergeCell ref="AG10:AJ10"/>
    <mergeCell ref="AK10:AN10"/>
    <mergeCell ref="AO10:AR10"/>
    <mergeCell ref="AS10:AV10"/>
    <mergeCell ref="AW10:AZ10"/>
    <mergeCell ref="BA10:BD10"/>
    <mergeCell ref="BE10:BH10"/>
    <mergeCell ref="BI10:BL10"/>
    <mergeCell ref="BM10:BP10"/>
    <mergeCell ref="BQ10:BT10"/>
    <mergeCell ref="BU10:BX10"/>
    <mergeCell ref="BY10:CB10"/>
    <mergeCell ref="CC10:CF10"/>
    <mergeCell ref="CG10:CJ10"/>
    <mergeCell ref="CK10:CN10"/>
    <mergeCell ref="CO10:CR10"/>
    <mergeCell ref="CS10:CV10"/>
    <mergeCell ref="CW10:CZ10"/>
    <mergeCell ref="DA10:DD10"/>
    <mergeCell ref="DE10:DH10"/>
    <mergeCell ref="DI10:DL10"/>
    <mergeCell ref="DM10:DP10"/>
    <mergeCell ref="DQ10:DT10"/>
    <mergeCell ref="DU10:DX10"/>
    <mergeCell ref="DY10:EB10"/>
    <mergeCell ref="EC10:EF10"/>
    <mergeCell ref="EG10:EJ10"/>
    <mergeCell ref="EK10:EN10"/>
    <mergeCell ref="EO10:ER10"/>
    <mergeCell ref="ES10:EV10"/>
    <mergeCell ref="EW10:EZ10"/>
    <mergeCell ref="FA10:FD10"/>
    <mergeCell ref="FE10:FH10"/>
    <mergeCell ref="FI10:FL10"/>
    <mergeCell ref="FM10:FP10"/>
    <mergeCell ref="FQ10:FT10"/>
    <mergeCell ref="FU10:FX10"/>
    <mergeCell ref="FY10:GB10"/>
    <mergeCell ref="GC10:GF10"/>
    <mergeCell ref="GG10:GJ10"/>
    <mergeCell ref="GK10:GN10"/>
    <mergeCell ref="GO10:GR10"/>
    <mergeCell ref="GS10:GV10"/>
    <mergeCell ref="GW10:GZ10"/>
    <mergeCell ref="HA10:HD10"/>
    <mergeCell ref="HE10:HH10"/>
    <mergeCell ref="HI10:HL10"/>
    <mergeCell ref="IG10:IJ10"/>
    <mergeCell ref="IK10:IN10"/>
    <mergeCell ref="IO10:IR10"/>
    <mergeCell ref="IS10:IV10"/>
    <mergeCell ref="HM10:HP10"/>
    <mergeCell ref="HQ10:HT10"/>
    <mergeCell ref="HU10:HX10"/>
    <mergeCell ref="HY10:IB10"/>
    <mergeCell ref="IC10:IF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topLeftCell="A7" zoomScale="80" zoomScaleNormal="80" workbookViewId="0">
      <selection activeCell="A17" sqref="A17:E17"/>
    </sheetView>
  </sheetViews>
  <sheetFormatPr baseColWidth="10" defaultRowHeight="14.25" x14ac:dyDescent="0.25"/>
  <cols>
    <col min="1" max="1" width="66.140625" style="31" customWidth="1"/>
    <col min="2" max="2" width="20.85546875" style="31" bestFit="1" customWidth="1"/>
    <col min="3" max="3" width="23.42578125" style="31" bestFit="1" customWidth="1"/>
    <col min="4" max="4" width="33" style="31" bestFit="1" customWidth="1"/>
    <col min="5" max="5" width="13.7109375" style="31" bestFit="1" customWidth="1"/>
    <col min="6" max="6" width="15.42578125" style="31" customWidth="1"/>
    <col min="7" max="7" width="26.140625" style="31" customWidth="1"/>
    <col min="8" max="8" width="23.7109375" style="31" customWidth="1"/>
    <col min="9" max="9" width="20" style="31" bestFit="1" customWidth="1"/>
    <col min="10" max="10" width="23.140625" style="31" bestFit="1" customWidth="1"/>
    <col min="11" max="11" width="18.42578125" style="31" customWidth="1"/>
    <col min="12" max="12" width="26.140625" style="31" bestFit="1" customWidth="1"/>
    <col min="13" max="13" width="21.5703125" style="31" customWidth="1"/>
    <col min="14" max="14" width="17" style="31" customWidth="1"/>
    <col min="15" max="15" width="22.7109375" style="31" customWidth="1"/>
    <col min="16" max="16" width="28" style="31" bestFit="1" customWidth="1"/>
    <col min="17" max="17" width="31.5703125" style="31" customWidth="1"/>
    <col min="18" max="18" width="29.42578125" style="31" customWidth="1"/>
    <col min="19" max="19" width="20" style="31" bestFit="1" customWidth="1"/>
    <col min="20" max="16384" width="11.42578125" style="31"/>
  </cols>
  <sheetData>
    <row r="1" spans="1:256" x14ac:dyDescent="0.25">
      <c r="A1" s="59" t="s">
        <v>18</v>
      </c>
      <c r="B1" s="59"/>
      <c r="C1" s="59"/>
      <c r="D1" s="59"/>
      <c r="E1" s="44"/>
    </row>
    <row r="2" spans="1:256" ht="30" customHeight="1" x14ac:dyDescent="0.25">
      <c r="A2" s="69" t="s">
        <v>83</v>
      </c>
      <c r="B2" s="69"/>
      <c r="C2" s="69"/>
      <c r="D2" s="69"/>
      <c r="E2" s="41"/>
      <c r="F2" s="28"/>
      <c r="G2" s="41"/>
    </row>
    <row r="3" spans="1:256" x14ac:dyDescent="0.25">
      <c r="A3" s="58" t="s">
        <v>75</v>
      </c>
      <c r="B3" s="58"/>
      <c r="C3" s="58"/>
      <c r="D3" s="58"/>
      <c r="E3" s="41"/>
      <c r="F3" s="28"/>
      <c r="G3" s="41"/>
    </row>
    <row r="4" spans="1:256" x14ac:dyDescent="0.25">
      <c r="A4" s="58" t="s">
        <v>5</v>
      </c>
      <c r="B4" s="58"/>
      <c r="C4" s="58"/>
      <c r="D4" s="58"/>
      <c r="E4" s="41"/>
      <c r="F4" s="28"/>
      <c r="G4" s="41"/>
    </row>
    <row r="5" spans="1:256" x14ac:dyDescent="0.25">
      <c r="A5" s="58" t="s">
        <v>6</v>
      </c>
      <c r="B5" s="58"/>
      <c r="C5" s="58"/>
      <c r="D5" s="58"/>
      <c r="E5" s="45"/>
    </row>
    <row r="6" spans="1:256" x14ac:dyDescent="0.25">
      <c r="A6" s="59" t="str">
        <f>RESUMEN!A6</f>
        <v>INFORMACIÓN ACTUALIZADA AL 31/03/2025</v>
      </c>
      <c r="B6" s="59"/>
      <c r="C6" s="59"/>
      <c r="D6" s="59"/>
      <c r="E6" s="41"/>
    </row>
    <row r="7" spans="1:256" x14ac:dyDescent="0.25">
      <c r="A7" s="59" t="str">
        <f>RESUMEN!A7</f>
        <v>FECHA DE PUBLICACIÓN: 01/07/2025</v>
      </c>
      <c r="B7" s="59"/>
      <c r="C7" s="59"/>
      <c r="D7" s="59"/>
      <c r="E7" s="43"/>
    </row>
    <row r="8" spans="1:256" x14ac:dyDescent="0.25">
      <c r="A8" s="60" t="s">
        <v>39</v>
      </c>
      <c r="B8" s="60"/>
      <c r="C8" s="60"/>
      <c r="D8" s="60"/>
      <c r="E8" s="36"/>
    </row>
    <row r="9" spans="1:256" x14ac:dyDescent="0.25">
      <c r="A9" s="59" t="s">
        <v>95</v>
      </c>
      <c r="B9" s="59"/>
      <c r="C9" s="59"/>
      <c r="D9" s="59"/>
      <c r="E9" s="41"/>
    </row>
    <row r="10" spans="1:256" x14ac:dyDescent="0.25">
      <c r="A10" s="58" t="s">
        <v>89</v>
      </c>
      <c r="B10" s="58"/>
      <c r="C10" s="58"/>
      <c r="D10" s="58"/>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69"/>
      <c r="HU10" s="69"/>
      <c r="HV10" s="69"/>
      <c r="HW10" s="69"/>
      <c r="HX10" s="69"/>
      <c r="HY10" s="69"/>
      <c r="HZ10" s="69"/>
      <c r="IA10" s="69"/>
      <c r="IB10" s="69"/>
      <c r="IC10" s="69"/>
      <c r="ID10" s="69"/>
      <c r="IE10" s="69"/>
      <c r="IF10" s="69"/>
      <c r="IG10" s="69"/>
      <c r="IH10" s="69"/>
      <c r="II10" s="69"/>
      <c r="IJ10" s="69"/>
      <c r="IK10" s="69"/>
      <c r="IL10" s="69"/>
      <c r="IM10" s="69"/>
      <c r="IN10" s="69"/>
      <c r="IO10" s="69"/>
      <c r="IP10" s="69"/>
      <c r="IQ10" s="69"/>
      <c r="IR10" s="69"/>
      <c r="IS10" s="69"/>
      <c r="IT10" s="69"/>
      <c r="IU10" s="69"/>
      <c r="IV10" s="69"/>
    </row>
    <row r="12" spans="1:256" ht="15" x14ac:dyDescent="0.25">
      <c r="A12" s="92" t="s">
        <v>8</v>
      </c>
      <c r="B12" s="93"/>
      <c r="C12" s="93"/>
      <c r="D12" s="93"/>
      <c r="E12" s="94"/>
      <c r="F12" s="89" t="s">
        <v>22</v>
      </c>
      <c r="G12" s="91"/>
      <c r="H12" s="92" t="s">
        <v>15</v>
      </c>
      <c r="I12" s="93"/>
      <c r="J12" s="93"/>
      <c r="K12" s="93"/>
      <c r="L12" s="93"/>
      <c r="M12" s="94"/>
      <c r="N12" s="95" t="s">
        <v>17</v>
      </c>
      <c r="O12" s="96"/>
      <c r="P12" s="86" t="s">
        <v>9</v>
      </c>
      <c r="Q12" s="87"/>
      <c r="R12" s="87"/>
      <c r="S12" s="88"/>
    </row>
    <row r="13" spans="1:256" ht="75" x14ac:dyDescent="0.25">
      <c r="A13" s="2" t="s">
        <v>3</v>
      </c>
      <c r="B13" s="2" t="s">
        <v>12</v>
      </c>
      <c r="C13" s="22" t="s">
        <v>1</v>
      </c>
      <c r="D13" s="2" t="s">
        <v>10</v>
      </c>
      <c r="E13" s="2" t="s">
        <v>36</v>
      </c>
      <c r="F13" s="24" t="s">
        <v>23</v>
      </c>
      <c r="G13" s="24" t="s">
        <v>85</v>
      </c>
      <c r="H13" s="2" t="s">
        <v>33</v>
      </c>
      <c r="I13" s="2" t="s">
        <v>34</v>
      </c>
      <c r="J13" s="2" t="s">
        <v>2</v>
      </c>
      <c r="K13" s="22" t="s">
        <v>35</v>
      </c>
      <c r="L13" s="33" t="s">
        <v>42</v>
      </c>
      <c r="M13" s="2" t="s">
        <v>14</v>
      </c>
      <c r="N13" s="5" t="s">
        <v>19</v>
      </c>
      <c r="O13" s="5" t="s">
        <v>20</v>
      </c>
      <c r="P13" s="3" t="s">
        <v>13</v>
      </c>
      <c r="Q13" s="25" t="s">
        <v>0</v>
      </c>
      <c r="R13" s="25" t="s">
        <v>25</v>
      </c>
      <c r="S13" s="3" t="s">
        <v>26</v>
      </c>
    </row>
    <row r="14" spans="1:256" x14ac:dyDescent="0.25">
      <c r="A14" s="6"/>
      <c r="B14" s="18"/>
      <c r="C14" s="9"/>
      <c r="D14" s="9"/>
      <c r="E14" s="9"/>
      <c r="F14" s="4"/>
      <c r="G14" s="4"/>
      <c r="H14" s="4"/>
      <c r="I14" s="9"/>
      <c r="J14" s="9"/>
      <c r="K14" s="9"/>
      <c r="L14" s="9"/>
      <c r="M14" s="4"/>
      <c r="N14" s="4"/>
      <c r="O14" s="34">
        <f>M14-N14</f>
        <v>0</v>
      </c>
      <c r="P14" s="18"/>
      <c r="Q14" s="18"/>
      <c r="R14" s="18"/>
      <c r="S14" s="18"/>
    </row>
    <row r="15" spans="1:256" x14ac:dyDescent="0.25">
      <c r="O15" s="14"/>
    </row>
    <row r="16" spans="1:256" s="23" customFormat="1" ht="62.25" customHeight="1" x14ac:dyDescent="0.25">
      <c r="A16" s="98" t="s">
        <v>86</v>
      </c>
      <c r="B16" s="97"/>
      <c r="C16" s="97"/>
      <c r="D16" s="97"/>
      <c r="E16" s="42"/>
    </row>
    <row r="17" spans="1:5" s="23" customFormat="1" ht="34.5" customHeight="1" x14ac:dyDescent="0.25">
      <c r="A17" s="99" t="s">
        <v>96</v>
      </c>
      <c r="B17" s="99"/>
      <c r="C17" s="99"/>
      <c r="D17" s="99"/>
      <c r="E17" s="99"/>
    </row>
    <row r="18" spans="1:5" s="23" customFormat="1" ht="20.100000000000001" customHeight="1" x14ac:dyDescent="0.25">
      <c r="A18" s="97" t="s">
        <v>24</v>
      </c>
      <c r="B18" s="97"/>
      <c r="C18" s="97"/>
      <c r="D18" s="97"/>
      <c r="E18" s="42"/>
    </row>
  </sheetData>
  <mergeCells count="68">
    <mergeCell ref="A2:D2"/>
    <mergeCell ref="F12:G12"/>
    <mergeCell ref="H12:M12"/>
    <mergeCell ref="N12:O12"/>
    <mergeCell ref="A18:D18"/>
    <mergeCell ref="A12:E12"/>
    <mergeCell ref="P12:S12"/>
    <mergeCell ref="A16:D16"/>
    <mergeCell ref="U10:X10"/>
    <mergeCell ref="A17:E17"/>
    <mergeCell ref="Y10:AB10"/>
    <mergeCell ref="AC10:AF10"/>
    <mergeCell ref="AG10:AJ10"/>
    <mergeCell ref="AK10:AN10"/>
    <mergeCell ref="AO10:AR10"/>
    <mergeCell ref="AS10:AV10"/>
    <mergeCell ref="AW10:AZ10"/>
    <mergeCell ref="BA10:BD10"/>
    <mergeCell ref="BE10:BH10"/>
    <mergeCell ref="BI10:BL10"/>
    <mergeCell ref="BM10:BP10"/>
    <mergeCell ref="BQ10:BT10"/>
    <mergeCell ref="BU10:BX10"/>
    <mergeCell ref="BY10:CB10"/>
    <mergeCell ref="CC10:CF10"/>
    <mergeCell ref="CG10:CJ10"/>
    <mergeCell ref="CK10:CN10"/>
    <mergeCell ref="CO10:CR10"/>
    <mergeCell ref="CS10:CV10"/>
    <mergeCell ref="CW10:CZ10"/>
    <mergeCell ref="DA10:DD10"/>
    <mergeCell ref="DE10:DH10"/>
    <mergeCell ref="DI10:DL10"/>
    <mergeCell ref="DM10:DP10"/>
    <mergeCell ref="DQ10:DT10"/>
    <mergeCell ref="DU10:DX10"/>
    <mergeCell ref="DY10:EB10"/>
    <mergeCell ref="EC10:EF10"/>
    <mergeCell ref="EG10:EJ10"/>
    <mergeCell ref="EK10:EN10"/>
    <mergeCell ref="EO10:ER10"/>
    <mergeCell ref="ES10:EV10"/>
    <mergeCell ref="EW10:EZ10"/>
    <mergeCell ref="FA10:FD10"/>
    <mergeCell ref="FE10:FH10"/>
    <mergeCell ref="FI10:FL10"/>
    <mergeCell ref="FM10:FP10"/>
    <mergeCell ref="FQ10:FT10"/>
    <mergeCell ref="FU10:FX10"/>
    <mergeCell ref="FY10:GB10"/>
    <mergeCell ref="GC10:GF10"/>
    <mergeCell ref="GG10:GJ10"/>
    <mergeCell ref="GK10:GN10"/>
    <mergeCell ref="GO10:GR10"/>
    <mergeCell ref="GS10:GV10"/>
    <mergeCell ref="GW10:GZ10"/>
    <mergeCell ref="HA10:HD10"/>
    <mergeCell ref="HE10:HH10"/>
    <mergeCell ref="HI10:HL10"/>
    <mergeCell ref="IG10:IJ10"/>
    <mergeCell ref="IK10:IN10"/>
    <mergeCell ref="IO10:IR10"/>
    <mergeCell ref="IS10:IV10"/>
    <mergeCell ref="HM10:HP10"/>
    <mergeCell ref="HQ10:HT10"/>
    <mergeCell ref="HU10:HX10"/>
    <mergeCell ref="HY10:IB10"/>
    <mergeCell ref="IC10:IF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EXPEDICIONES</vt:lpstr>
      <vt:lpstr>EXPEDICIONES AMPLIACIONES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2018-03-01T16:41:58Z</cp:lastPrinted>
  <dcterms:created xsi:type="dcterms:W3CDTF">2014-03-07T07:03:26Z</dcterms:created>
  <dcterms:modified xsi:type="dcterms:W3CDTF">2025-07-07T20:01:50Z</dcterms:modified>
</cp:coreProperties>
</file>