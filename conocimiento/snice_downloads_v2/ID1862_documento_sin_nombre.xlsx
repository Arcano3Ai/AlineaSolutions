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PTPD_2025\FORMATOS PTPD PUBLICAR\IMPORTACION\"/>
    </mc:Choice>
  </mc:AlternateContent>
  <bookViews>
    <workbookView xWindow="375" yWindow="4530" windowWidth="20490" windowHeight="4635" tabRatio="597"/>
  </bookViews>
  <sheets>
    <sheet name="RESUMEN" sheetId="3" r:id="rId1"/>
    <sheet name="EXPEDICIONES" sheetId="2" r:id="rId2"/>
  </sheets>
  <definedNames>
    <definedName name="_xlnm._FilterDatabase" localSheetId="1" hidden="1">EXPEDICIONES!$A$13:$O$31</definedName>
    <definedName name="_xlnm.Print_Area" localSheetId="1">EXPEDICIONES!$A$1:$O$13</definedName>
    <definedName name="_xlnm.Print_Area" localSheetId="0">RESUMEN!$B$1:$D$34</definedName>
    <definedName name="_xlnm.Print_Titles" localSheetId="1">EXPEDICIONES!$A:$A,EXPEDICIONES!$12:$13</definedName>
  </definedNames>
  <calcPr calcId="162913"/>
</workbook>
</file>

<file path=xl/calcChain.xml><?xml version="1.0" encoding="utf-8"?>
<calcChain xmlns="http://schemas.openxmlformats.org/spreadsheetml/2006/main">
  <c r="A10" i="2" l="1"/>
  <c r="A9" i="2" l="1"/>
  <c r="A6" i="2" l="1"/>
  <c r="A7" i="2"/>
</calcChain>
</file>

<file path=xl/sharedStrings.xml><?xml version="1.0" encoding="utf-8"?>
<sst xmlns="http://schemas.openxmlformats.org/spreadsheetml/2006/main" count="190" uniqueCount="97">
  <si>
    <t>No. DE FOLIO DE SOLICITUD</t>
  </si>
  <si>
    <t>FECHA/HORA DE RECEPCIÓN</t>
  </si>
  <si>
    <t>RESOLUCIÓN</t>
  </si>
  <si>
    <t>FECHA/HORA DE RESOLUCIÓN</t>
  </si>
  <si>
    <t>CERTIFICADOS DE CUPO EXPEDIDOS</t>
  </si>
  <si>
    <t>VIGENCIA</t>
  </si>
  <si>
    <t>CANCELACIONES DE CERTIFICADOS POR BENEFICIARIO</t>
  </si>
  <si>
    <t>NOMBRE/RAZÓN SOCIAL</t>
  </si>
  <si>
    <t>No. DE CERTIFICADO</t>
  </si>
  <si>
    <t>Unidad de medida (UdM)</t>
  </si>
  <si>
    <t>INFORMACIÓN GENERAL</t>
  </si>
  <si>
    <t>IMPORTACIÓN</t>
  </si>
  <si>
    <t>PRIMERO EN TIEMPO, PRIMERO EN DERECHO</t>
  </si>
  <si>
    <t>LISTADO DE BENEFICIARIOS</t>
  </si>
  <si>
    <t>Definiciones:</t>
  </si>
  <si>
    <r>
      <rPr>
        <b/>
        <sz val="11"/>
        <rFont val="Arial"/>
        <family val="2"/>
      </rPr>
      <t>(B) Monto total solicitado</t>
    </r>
    <r>
      <rPr>
        <sz val="11"/>
        <rFont val="Arial"/>
        <family val="2"/>
      </rPr>
      <t>: Suma del monto de todas las solicitudes de asignación de cupo recibidas, expresada en la unidad de medida correspondiente.</t>
    </r>
  </si>
  <si>
    <r>
      <rPr>
        <b/>
        <sz val="11"/>
        <rFont val="Arial"/>
        <family val="2"/>
      </rPr>
      <t>(C)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expresada en la unidad de medida correspondiente.</t>
    </r>
  </si>
  <si>
    <r>
      <rPr>
        <b/>
        <sz val="11"/>
        <rFont val="Arial"/>
        <family val="2"/>
      </rPr>
      <t>(F) Monto total cancelado</t>
    </r>
    <r>
      <rPr>
        <sz val="11"/>
        <rFont val="Arial"/>
        <family val="2"/>
      </rPr>
      <t>: Suma del monto de los certificados desistidos por los beneficiarios, dentro de la vigencia de los mismos.</t>
    </r>
  </si>
  <si>
    <t>UTILIZACIÓN</t>
  </si>
  <si>
    <t>MONTO EXPEDIDO 
(UdM)</t>
  </si>
  <si>
    <t>MONTO CANCELADO
(UdM)</t>
  </si>
  <si>
    <t>MONTO SOLICITADO
(UdM)</t>
  </si>
  <si>
    <t>MONTO NO UTILIZADO
(UdM)</t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</si>
  <si>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cupo, expresada en la unidad de medida correspondiente.</t>
    </r>
  </si>
  <si>
    <t>Kg</t>
  </si>
  <si>
    <t>UNIDAD DE MEDIDA (UdM): Kg</t>
  </si>
  <si>
    <r>
      <rPr>
        <b/>
        <sz val="11"/>
        <rFont val="Arial"/>
        <family val="2"/>
      </rPr>
      <t xml:space="preserve">2) Fecha de cancelación: </t>
    </r>
    <r>
      <rPr>
        <sz val="11"/>
        <rFont val="Arial"/>
        <family val="2"/>
      </rPr>
      <t xml:space="preserve">Es la fecha en la que se ingresa el trámite de cancelación. </t>
    </r>
  </si>
  <si>
    <r>
      <rPr>
        <b/>
        <sz val="11"/>
        <rFont val="Arial"/>
        <family val="2"/>
      </rPr>
      <t>(G) Saldo disponible</t>
    </r>
    <r>
      <rPr>
        <sz val="11"/>
        <rFont val="Arial"/>
        <family val="2"/>
      </rPr>
      <t>: Se refiere al monto total del cupo no expedido y/o reintegrado, que se obtiene de la diferencia del Monto total del cupo menos el Monto total expedido más el Monto total no utilizado más el Monto total cancelado.
Notas:
(i) Puede haber diferencia respecto al monto disponible real, derivado de las fechas de reintegro de cada monto cancelado y monto no ejercido.
(ii) Se publica únicamente cuando la fecha de actualización de la información es mayor que la vigencia del cupo.</t>
    </r>
  </si>
  <si>
    <r>
      <rPr>
        <b/>
        <sz val="11"/>
        <rFont val="Arial"/>
        <family val="2"/>
      </rPr>
      <t>(H) Nivel de utilización</t>
    </r>
    <r>
      <rPr>
        <sz val="11"/>
        <rFont val="Arial"/>
        <family val="2"/>
      </rPr>
      <t>: Proporción de lo utilizado respecto del total del cupo (Monto total utilizado/ Monto total del cupo).</t>
    </r>
  </si>
  <si>
    <t>ESTATUS DEL TRÁMITE</t>
  </si>
  <si>
    <t>1)</t>
  </si>
  <si>
    <t>2)</t>
  </si>
  <si>
    <t>(A)</t>
  </si>
  <si>
    <t>(B)</t>
  </si>
  <si>
    <t>(C)</t>
  </si>
  <si>
    <t>(D)</t>
  </si>
  <si>
    <t>(E)</t>
  </si>
  <si>
    <t>(F)</t>
  </si>
  <si>
    <t>(G)</t>
  </si>
  <si>
    <t>(H)</t>
  </si>
  <si>
    <t>RESUMEN</t>
  </si>
  <si>
    <r>
      <rPr>
        <b/>
        <sz val="11"/>
        <rFont val="Arial"/>
        <family val="2"/>
      </rPr>
      <t xml:space="preserve">1) Ciclo del Cupo: </t>
    </r>
    <r>
      <rPr>
        <sz val="11"/>
        <rFont val="Arial"/>
        <family val="2"/>
      </rPr>
      <t>Se refiere a la vigencia establecida en el Acuerdo del cupo.</t>
    </r>
  </si>
  <si>
    <r>
      <rPr>
        <b/>
        <sz val="11"/>
        <rFont val="Arial"/>
        <family val="2"/>
      </rPr>
      <t>2) Unidad de Medida</t>
    </r>
    <r>
      <rPr>
        <sz val="11"/>
        <rFont val="Arial"/>
        <family val="2"/>
      </rPr>
      <t>: Unidad métrica con la que se establece el monto del cupo en el Acuerdo.</t>
    </r>
  </si>
  <si>
    <t>Ciclo del cupo</t>
  </si>
  <si>
    <t>Monto total del cupo</t>
  </si>
  <si>
    <t>Monto total solicitado</t>
  </si>
  <si>
    <t>Monto total expedido</t>
  </si>
  <si>
    <t>Monto total utilizado</t>
  </si>
  <si>
    <t>Monto total no utilizado</t>
  </si>
  <si>
    <t>Monto total cancelado</t>
  </si>
  <si>
    <t>Saldo disponible</t>
  </si>
  <si>
    <t>Nivel de utilización</t>
  </si>
  <si>
    <r>
      <t xml:space="preserve">MONTO UTILIZADO </t>
    </r>
    <r>
      <rPr>
        <b/>
        <vertAlign val="superscript"/>
        <sz val="11"/>
        <rFont val="Arial"/>
        <family val="2"/>
      </rPr>
      <t>1)</t>
    </r>
    <r>
      <rPr>
        <b/>
        <sz val="11"/>
        <rFont val="Arial"/>
        <family val="2"/>
      </rPr>
      <t xml:space="preserve">
(UdM)</t>
    </r>
  </si>
  <si>
    <r>
      <t xml:space="preserve">FECHA DE CANCELACIÓN </t>
    </r>
    <r>
      <rPr>
        <b/>
        <vertAlign val="superscript"/>
        <sz val="11"/>
        <rFont val="Arial"/>
        <family val="2"/>
      </rPr>
      <t>2)</t>
    </r>
  </si>
  <si>
    <r>
      <rPr>
        <b/>
        <sz val="11"/>
        <rFont val="Arial"/>
        <family val="2"/>
      </rPr>
      <t>(D)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expresada en la unidad de medida correspondiente.</t>
    </r>
  </si>
  <si>
    <r>
      <rPr>
        <b/>
        <sz val="11"/>
        <rFont val="Arial"/>
        <family val="2"/>
      </rPr>
      <t>(E) Monto total no utilizado</t>
    </r>
    <r>
      <rPr>
        <sz val="11"/>
        <rFont val="Arial"/>
        <family val="2"/>
      </rPr>
      <t>: Se refiere al monto no ejercido de los certificados declarados en los pedimentos de importación validados ante la ANAM y/o al monto de los certificados desistidos por los beneficiarios. Resulta de la diferencia del monto expedido y el monto utilizado por certificado, siempre que el certificado se encuentre vencido.</t>
    </r>
  </si>
  <si>
    <t>TLC-COLOMBIA</t>
  </si>
  <si>
    <t>RECHAZADA</t>
  </si>
  <si>
    <t>PRODUCTOS LAMINADOS PLANOS DE HIERRO O ACERO SIN ALEAR, DE ANCHURA SUPERIOR O IGUAL A 600 MM, LAMINADOS EN FRÍO, SIN CHAPAR NI REVESTIR. (72.09)</t>
  </si>
  <si>
    <t>ACEROS Y GALVANIZADOS DE CELAYA SA DE CV</t>
  </si>
  <si>
    <t>ACEPTADA</t>
  </si>
  <si>
    <t>02-agosto de 2024 al 01-agosto de 2025</t>
  </si>
  <si>
    <t>18/10/2024 10:42:01</t>
  </si>
  <si>
    <t>0201200400220241118000011</t>
  </si>
  <si>
    <t>18/10/2024 11:44:56</t>
  </si>
  <si>
    <t>0201200400220241118000012</t>
  </si>
  <si>
    <t>06/11/2024 16:01:53</t>
  </si>
  <si>
    <t>0201200400220241118000013</t>
  </si>
  <si>
    <t>06/11/2024 16:24:07</t>
  </si>
  <si>
    <t>0201200400220241118000014</t>
  </si>
  <si>
    <t>AMERICA METAL SA DE CV</t>
  </si>
  <si>
    <t>06/11/2024 14:46:47</t>
  </si>
  <si>
    <t>06/11/2024 14:40:00</t>
  </si>
  <si>
    <t>14/11/2024 17:42:41</t>
  </si>
  <si>
    <t>14/11/2024 14:48:18</t>
  </si>
  <si>
    <t>24PH0001056/1118</t>
  </si>
  <si>
    <t>24PH0001057/1118</t>
  </si>
  <si>
    <t>24PH0001064/1118</t>
  </si>
  <si>
    <t>24PH0001063/1118</t>
  </si>
  <si>
    <t>24PH0001084/1118</t>
  </si>
  <si>
    <t>24PH0001082/1118</t>
  </si>
  <si>
    <t>24PH0001081/1118</t>
  </si>
  <si>
    <t>24PH0001083/1118</t>
  </si>
  <si>
    <t>01/08/2025</t>
  </si>
  <si>
    <t>SECRETARÍA DE ECONOMÍA CON INFORMACIÓN DE VUCEM Y OPERACIONES DE COMERCIO EXTERIOR (BCMM)</t>
  </si>
  <si>
    <t>INFORMACIÓN ACTUALIZADA AL 31/03/2025</t>
  </si>
  <si>
    <t>PERIODO REPORTADO: 02-AGOSTO DE 2024 AL 31-MARZO DE 2025</t>
  </si>
  <si>
    <t>25PH0000063/1118</t>
  </si>
  <si>
    <t>25PH0000062/1118</t>
  </si>
  <si>
    <t>25PH0000180/1118</t>
  </si>
  <si>
    <t>25PH0000179/1118</t>
  </si>
  <si>
    <t>25PH0000195/1118</t>
  </si>
  <si>
    <t>25PH0000065/1118</t>
  </si>
  <si>
    <t>25PH0000064/1118</t>
  </si>
  <si>
    <t>25PH0000084/1118</t>
  </si>
  <si>
    <r>
      <rPr>
        <b/>
        <sz val="11"/>
        <rFont val="Arial"/>
        <family val="2"/>
      </rPr>
      <t xml:space="preserve">1)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</si>
  <si>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FECHA DE PUBLICACIÓN:01/07/2025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</si>
</sst>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752B2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justify"/>
    </xf>
    <xf numFmtId="14" fontId="4" fillId="2" borderId="0" xfId="0" applyNumberFormat="1" applyFont="1" applyFill="1" applyBorder="1"/>
    <xf numFmtId="0" fontId="2" fillId="2" borderId="0" xfId="0" applyNumberFormat="1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4" fillId="6" borderId="0" xfId="0" applyFont="1" applyFill="1" applyBorder="1"/>
    <xf numFmtId="0" fontId="2" fillId="6" borderId="0" xfId="0" applyFont="1" applyFill="1" applyBorder="1" applyAlignment="1">
      <alignment vertical="center" wrapText="1"/>
    </xf>
    <xf numFmtId="0" fontId="2" fillId="7" borderId="0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49" fontId="4" fillId="6" borderId="0" xfId="0" applyNumberFormat="1" applyFont="1" applyFill="1" applyBorder="1" applyAlignment="1">
      <alignment vertical="center"/>
    </xf>
    <xf numFmtId="3" fontId="4" fillId="6" borderId="1" xfId="0" applyNumberFormat="1" applyFont="1" applyFill="1" applyBorder="1" applyAlignment="1">
      <alignment vertical="center"/>
    </xf>
    <xf numFmtId="3" fontId="4" fillId="6" borderId="0" xfId="0" applyNumberFormat="1" applyFont="1" applyFill="1" applyBorder="1" applyAlignment="1">
      <alignment vertical="center"/>
    </xf>
    <xf numFmtId="3" fontId="4" fillId="6" borderId="0" xfId="0" applyNumberFormat="1" applyFont="1" applyFill="1" applyBorder="1"/>
    <xf numFmtId="3" fontId="4" fillId="6" borderId="1" xfId="0" applyNumberFormat="1" applyFont="1" applyFill="1" applyBorder="1" applyAlignment="1">
      <alignment horizontal="right" vertical="center"/>
    </xf>
    <xf numFmtId="14" fontId="4" fillId="6" borderId="0" xfId="0" applyNumberFormat="1" applyFont="1" applyFill="1" applyBorder="1"/>
    <xf numFmtId="9" fontId="4" fillId="6" borderId="1" xfId="4" applyFont="1" applyFill="1" applyBorder="1" applyAlignment="1">
      <alignment horizontal="right" vertical="center"/>
    </xf>
    <xf numFmtId="49" fontId="4" fillId="6" borderId="0" xfId="0" applyNumberFormat="1" applyFont="1" applyFill="1" applyBorder="1" applyAlignment="1">
      <alignment horizontal="left" vertical="center"/>
    </xf>
    <xf numFmtId="0" fontId="4" fillId="6" borderId="0" xfId="2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2" borderId="0" xfId="3" applyFont="1" applyFill="1" applyBorder="1" applyAlignment="1">
      <alignment horizontal="justify" vertical="center"/>
    </xf>
    <xf numFmtId="0" fontId="8" fillId="3" borderId="1" xfId="0" applyFont="1" applyFill="1" applyBorder="1" applyAlignment="1">
      <alignment horizontal="center" vertical="center" wrapText="1"/>
    </xf>
    <xf numFmtId="3" fontId="3" fillId="4" borderId="1" xfId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left" vertical="center"/>
    </xf>
    <xf numFmtId="9" fontId="4" fillId="6" borderId="0" xfId="4" applyFont="1" applyFill="1" applyBorder="1"/>
    <xf numFmtId="0" fontId="2" fillId="7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center" vertical="center"/>
    </xf>
    <xf numFmtId="3" fontId="2" fillId="7" borderId="0" xfId="0" applyNumberFormat="1" applyFont="1" applyFill="1" applyBorder="1" applyAlignment="1">
      <alignment horizontal="center" vertical="center"/>
    </xf>
    <xf numFmtId="3" fontId="2" fillId="7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justify" vertical="center" wrapText="1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3" fontId="3" fillId="4" borderId="2" xfId="1" applyNumberFormat="1" applyFont="1" applyFill="1" applyBorder="1" applyAlignment="1">
      <alignment horizontal="center" vertical="center" wrapText="1"/>
    </xf>
    <xf numFmtId="3" fontId="3" fillId="4" borderId="4" xfId="1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left" vertical="center"/>
    </xf>
    <xf numFmtId="49" fontId="4" fillId="6" borderId="0" xfId="0" applyNumberFormat="1" applyFont="1" applyFill="1" applyBorder="1" applyAlignment="1">
      <alignment horizontal="left" vertical="center" wrapText="1"/>
    </xf>
  </cellXfs>
  <cellStyles count="6">
    <cellStyle name="Normal" xfId="0" builtinId="0"/>
    <cellStyle name="Normal 2" xfId="1"/>
    <cellStyle name="Normal 2 2" xfId="5"/>
    <cellStyle name="Normal 3" xfId="2"/>
    <cellStyle name="Normal 3 2" xfId="3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34"/>
  <sheetViews>
    <sheetView tabSelected="1" zoomScale="80" zoomScaleNormal="80" zoomScaleSheetLayoutView="85" workbookViewId="0">
      <selection activeCell="E13" sqref="E13"/>
    </sheetView>
  </sheetViews>
  <sheetFormatPr baseColWidth="10" defaultRowHeight="14.25" x14ac:dyDescent="0.2"/>
  <cols>
    <col min="1" max="1" width="4.140625" style="11" customWidth="1"/>
    <col min="2" max="2" width="28.5703125" style="11" bestFit="1" customWidth="1"/>
    <col min="3" max="3" width="42.140625" style="11" bestFit="1" customWidth="1"/>
    <col min="4" max="4" width="11.42578125" style="11" customWidth="1"/>
    <col min="5" max="7" width="11.42578125" style="11"/>
    <col min="8" max="8" width="14.5703125" style="11" bestFit="1" customWidth="1"/>
    <col min="9" max="16384" width="11.42578125" style="11"/>
  </cols>
  <sheetData>
    <row r="1" spans="1:8" x14ac:dyDescent="0.2">
      <c r="A1" s="17" t="s">
        <v>10</v>
      </c>
      <c r="B1" s="17"/>
      <c r="C1" s="17"/>
      <c r="D1" s="17"/>
      <c r="H1" s="25"/>
    </row>
    <row r="2" spans="1:8" x14ac:dyDescent="0.2">
      <c r="A2" s="11" t="s">
        <v>58</v>
      </c>
      <c r="B2" s="17"/>
      <c r="C2" s="17"/>
      <c r="D2" s="17"/>
    </row>
    <row r="3" spans="1:8" ht="14.25" customHeight="1" x14ac:dyDescent="0.2">
      <c r="A3" s="11" t="s">
        <v>56</v>
      </c>
      <c r="B3" s="17"/>
      <c r="C3" s="17"/>
      <c r="D3" s="17"/>
    </row>
    <row r="4" spans="1:8" x14ac:dyDescent="0.2">
      <c r="A4" s="17" t="s">
        <v>11</v>
      </c>
      <c r="B4" s="17"/>
      <c r="C4" s="17"/>
      <c r="D4" s="17"/>
    </row>
    <row r="5" spans="1:8" x14ac:dyDescent="0.2">
      <c r="A5" s="17" t="s">
        <v>12</v>
      </c>
      <c r="B5" s="17"/>
      <c r="C5" s="17"/>
      <c r="D5" s="17"/>
    </row>
    <row r="6" spans="1:8" x14ac:dyDescent="0.2">
      <c r="A6" s="17" t="s">
        <v>85</v>
      </c>
      <c r="B6" s="17"/>
      <c r="C6" s="17"/>
      <c r="D6" s="17"/>
    </row>
    <row r="7" spans="1:8" x14ac:dyDescent="0.2">
      <c r="A7" s="17" t="s">
        <v>96</v>
      </c>
      <c r="B7" s="17"/>
      <c r="C7" s="17"/>
      <c r="D7" s="17"/>
    </row>
    <row r="8" spans="1:8" x14ac:dyDescent="0.2">
      <c r="A8" s="17" t="s">
        <v>25</v>
      </c>
      <c r="B8" s="17"/>
      <c r="C8" s="17"/>
      <c r="D8" s="17"/>
    </row>
    <row r="9" spans="1:8" x14ac:dyDescent="0.2">
      <c r="A9" s="18" t="s">
        <v>86</v>
      </c>
      <c r="B9" s="18"/>
      <c r="C9" s="18"/>
      <c r="D9" s="18"/>
    </row>
    <row r="10" spans="1:8" x14ac:dyDescent="0.2">
      <c r="A10" s="18" t="s">
        <v>84</v>
      </c>
      <c r="B10" s="18"/>
      <c r="C10" s="18"/>
      <c r="D10" s="18"/>
    </row>
    <row r="11" spans="1:8" x14ac:dyDescent="0.2">
      <c r="B11" s="15"/>
    </row>
    <row r="12" spans="1:8" ht="15" x14ac:dyDescent="0.2">
      <c r="A12" s="48" t="s">
        <v>40</v>
      </c>
      <c r="B12" s="49"/>
      <c r="C12" s="50"/>
    </row>
    <row r="13" spans="1:8" ht="15" x14ac:dyDescent="0.2">
      <c r="A13" s="19" t="s">
        <v>30</v>
      </c>
      <c r="B13" s="20" t="s">
        <v>43</v>
      </c>
      <c r="C13" s="21" t="s">
        <v>61</v>
      </c>
      <c r="D13" s="22"/>
    </row>
    <row r="14" spans="1:8" ht="15" x14ac:dyDescent="0.2">
      <c r="A14" s="19" t="s">
        <v>31</v>
      </c>
      <c r="B14" s="20" t="s">
        <v>9</v>
      </c>
      <c r="C14" s="21" t="s">
        <v>24</v>
      </c>
      <c r="D14" s="15"/>
    </row>
    <row r="15" spans="1:8" ht="15" x14ac:dyDescent="0.2">
      <c r="A15" s="19" t="s">
        <v>32</v>
      </c>
      <c r="B15" s="20" t="s">
        <v>44</v>
      </c>
      <c r="C15" s="26">
        <v>2500000</v>
      </c>
      <c r="D15" s="24"/>
      <c r="G15" s="25"/>
    </row>
    <row r="16" spans="1:8" ht="15" x14ac:dyDescent="0.2">
      <c r="A16" s="19" t="s">
        <v>33</v>
      </c>
      <c r="B16" s="20" t="s">
        <v>45</v>
      </c>
      <c r="C16" s="23">
        <v>5937566</v>
      </c>
      <c r="D16" s="22"/>
      <c r="F16" s="42"/>
    </row>
    <row r="17" spans="1:7" ht="15" x14ac:dyDescent="0.2">
      <c r="A17" s="19" t="s">
        <v>34</v>
      </c>
      <c r="B17" s="20" t="s">
        <v>46</v>
      </c>
      <c r="C17" s="23">
        <v>2252254</v>
      </c>
      <c r="D17" s="22"/>
      <c r="F17" s="42"/>
    </row>
    <row r="18" spans="1:7" ht="15" x14ac:dyDescent="0.2">
      <c r="A18" s="19" t="s">
        <v>35</v>
      </c>
      <c r="B18" s="20" t="s">
        <v>47</v>
      </c>
      <c r="C18" s="23">
        <v>681670</v>
      </c>
      <c r="D18" s="22"/>
    </row>
    <row r="19" spans="1:7" ht="15" x14ac:dyDescent="0.2">
      <c r="A19" s="19" t="s">
        <v>36</v>
      </c>
      <c r="B19" s="20" t="s">
        <v>48</v>
      </c>
      <c r="C19" s="26">
        <v>1570584</v>
      </c>
      <c r="D19" s="22"/>
    </row>
    <row r="20" spans="1:7" ht="15" x14ac:dyDescent="0.2">
      <c r="A20" s="19" t="s">
        <v>37</v>
      </c>
      <c r="B20" s="20" t="s">
        <v>49</v>
      </c>
      <c r="C20" s="26">
        <v>0</v>
      </c>
      <c r="D20" s="27"/>
    </row>
    <row r="21" spans="1:7" ht="15" customHeight="1" x14ac:dyDescent="0.2">
      <c r="A21" s="19" t="s">
        <v>38</v>
      </c>
      <c r="B21" s="20" t="s">
        <v>50</v>
      </c>
      <c r="C21" s="26">
        <v>247746</v>
      </c>
      <c r="D21" s="27"/>
      <c r="F21" s="27"/>
    </row>
    <row r="22" spans="1:7" ht="15" customHeight="1" x14ac:dyDescent="0.2">
      <c r="A22" s="19" t="s">
        <v>39</v>
      </c>
      <c r="B22" s="20" t="s">
        <v>51</v>
      </c>
      <c r="C22" s="28">
        <v>0.27266800000000002</v>
      </c>
    </row>
    <row r="23" spans="1:7" x14ac:dyDescent="0.2">
      <c r="B23" s="29"/>
      <c r="C23" s="30"/>
    </row>
    <row r="24" spans="1:7" s="6" customFormat="1" ht="15" x14ac:dyDescent="0.2">
      <c r="A24" s="31" t="s">
        <v>14</v>
      </c>
      <c r="B24" s="32"/>
      <c r="C24" s="7"/>
      <c r="D24" s="7"/>
      <c r="G24" s="8"/>
    </row>
    <row r="25" spans="1:7" s="6" customFormat="1" ht="18.75" customHeight="1" x14ac:dyDescent="0.2">
      <c r="A25" s="47" t="s">
        <v>41</v>
      </c>
      <c r="B25" s="47"/>
      <c r="C25" s="47"/>
      <c r="D25" s="47"/>
    </row>
    <row r="26" spans="1:7" s="6" customFormat="1" ht="28.5" customHeight="1" x14ac:dyDescent="0.2">
      <c r="A26" s="47" t="s">
        <v>42</v>
      </c>
      <c r="B26" s="47"/>
      <c r="C26" s="47"/>
      <c r="D26" s="47"/>
    </row>
    <row r="27" spans="1:7" s="6" customFormat="1" ht="39" customHeight="1" x14ac:dyDescent="0.2">
      <c r="A27" s="47" t="s">
        <v>23</v>
      </c>
      <c r="B27" s="47"/>
      <c r="C27" s="47"/>
      <c r="D27" s="47"/>
    </row>
    <row r="28" spans="1:7" s="6" customFormat="1" ht="39" customHeight="1" x14ac:dyDescent="0.2">
      <c r="A28" s="47" t="s">
        <v>15</v>
      </c>
      <c r="B28" s="47"/>
      <c r="C28" s="47"/>
      <c r="D28" s="47"/>
    </row>
    <row r="29" spans="1:7" s="6" customFormat="1" ht="54" customHeight="1" x14ac:dyDescent="0.2">
      <c r="A29" s="47" t="s">
        <v>16</v>
      </c>
      <c r="B29" s="47"/>
      <c r="C29" s="47"/>
      <c r="D29" s="47"/>
    </row>
    <row r="30" spans="1:7" s="6" customFormat="1" ht="47.25" customHeight="1" x14ac:dyDescent="0.2">
      <c r="A30" s="47" t="s">
        <v>54</v>
      </c>
      <c r="B30" s="47"/>
      <c r="C30" s="47"/>
      <c r="D30" s="47"/>
    </row>
    <row r="31" spans="1:7" s="6" customFormat="1" ht="74.25" customHeight="1" x14ac:dyDescent="0.2">
      <c r="A31" s="47" t="s">
        <v>55</v>
      </c>
      <c r="B31" s="47"/>
      <c r="C31" s="47"/>
      <c r="D31" s="47"/>
    </row>
    <row r="32" spans="1:7" s="6" customFormat="1" ht="43.5" customHeight="1" x14ac:dyDescent="0.2">
      <c r="A32" s="47" t="s">
        <v>17</v>
      </c>
      <c r="B32" s="47"/>
      <c r="C32" s="47"/>
      <c r="D32" s="47"/>
    </row>
    <row r="33" spans="1:4" s="6" customFormat="1" ht="123" customHeight="1" x14ac:dyDescent="0.2">
      <c r="A33" s="47" t="s">
        <v>27</v>
      </c>
      <c r="B33" s="47"/>
      <c r="C33" s="47"/>
      <c r="D33" s="47"/>
    </row>
    <row r="34" spans="1:4" s="6" customFormat="1" ht="39" customHeight="1" x14ac:dyDescent="0.2">
      <c r="A34" s="47" t="s">
        <v>28</v>
      </c>
      <c r="B34" s="47"/>
      <c r="C34" s="47"/>
      <c r="D34" s="47"/>
    </row>
  </sheetData>
  <mergeCells count="11">
    <mergeCell ref="A32:D32"/>
    <mergeCell ref="A33:D33"/>
    <mergeCell ref="A34:D34"/>
    <mergeCell ref="A12:C12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S48"/>
  <sheetViews>
    <sheetView zoomScale="80" zoomScaleNormal="80" workbookViewId="0">
      <selection activeCell="A37" sqref="A37"/>
    </sheetView>
  </sheetViews>
  <sheetFormatPr baseColWidth="10" defaultRowHeight="14.25" x14ac:dyDescent="0.25"/>
  <cols>
    <col min="1" max="1" width="45.28515625" style="1" customWidth="1"/>
    <col min="2" max="2" width="23.42578125" style="1" customWidth="1"/>
    <col min="3" max="3" width="33" style="1" bestFit="1" customWidth="1"/>
    <col min="4" max="4" width="14" style="1" customWidth="1"/>
    <col min="5" max="5" width="14.5703125" style="1" customWidth="1"/>
    <col min="6" max="6" width="21.5703125" style="2" bestFit="1" customWidth="1"/>
    <col min="7" max="7" width="23.42578125" style="1" bestFit="1" customWidth="1"/>
    <col min="8" max="8" width="12.28515625" style="1" bestFit="1" customWidth="1"/>
    <col min="9" max="9" width="15.7109375" style="1" customWidth="1"/>
    <col min="10" max="10" width="17.42578125" style="9" customWidth="1"/>
    <col min="11" max="11" width="12.7109375" style="1" bestFit="1" customWidth="1"/>
    <col min="12" max="12" width="17.140625" style="1" customWidth="1"/>
    <col min="13" max="13" width="13.7109375" style="1" bestFit="1" customWidth="1"/>
    <col min="14" max="14" width="18.140625" style="1" customWidth="1"/>
    <col min="15" max="15" width="14.42578125" style="1" customWidth="1"/>
    <col min="16" max="16384" width="11.42578125" style="10"/>
  </cols>
  <sheetData>
    <row r="1" spans="1:19" x14ac:dyDescent="0.25">
      <c r="A1" s="4" t="s">
        <v>13</v>
      </c>
      <c r="B1" s="4"/>
      <c r="C1" s="4"/>
      <c r="D1" s="4"/>
      <c r="J1" s="1"/>
    </row>
    <row r="2" spans="1:19" x14ac:dyDescent="0.2">
      <c r="A2" s="11" t="s">
        <v>58</v>
      </c>
      <c r="B2" s="4"/>
      <c r="C2" s="4"/>
      <c r="D2" s="4"/>
      <c r="J2" s="1"/>
    </row>
    <row r="3" spans="1:19" x14ac:dyDescent="0.2">
      <c r="A3" s="11" t="s">
        <v>56</v>
      </c>
      <c r="B3" s="4"/>
      <c r="C3" s="4"/>
      <c r="D3" s="4"/>
      <c r="J3" s="1"/>
    </row>
    <row r="4" spans="1:19" x14ac:dyDescent="0.25">
      <c r="A4" s="4" t="s">
        <v>11</v>
      </c>
      <c r="B4" s="4"/>
      <c r="C4" s="4"/>
      <c r="D4" s="4"/>
      <c r="J4" s="1"/>
    </row>
    <row r="5" spans="1:19" x14ac:dyDescent="0.25">
      <c r="A5" s="4" t="s">
        <v>12</v>
      </c>
      <c r="B5" s="4"/>
      <c r="C5" s="4"/>
      <c r="D5" s="4"/>
      <c r="J5" s="1"/>
    </row>
    <row r="6" spans="1:19" s="15" customFormat="1" x14ac:dyDescent="0.25">
      <c r="A6" s="4" t="str">
        <f>RESUMEN!A6</f>
        <v>INFORMACIÓN ACTUALIZADA AL 31/03/2025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9" s="15" customFormat="1" x14ac:dyDescent="0.25">
      <c r="A7" s="15" t="str">
        <f>RESUMEN!A7</f>
        <v>FECHA DE PUBLICACIÓN:01/07/2025</v>
      </c>
    </row>
    <row r="8" spans="1:19" s="15" customFormat="1" x14ac:dyDescent="0.25">
      <c r="A8" s="16" t="s">
        <v>25</v>
      </c>
      <c r="B8" s="16"/>
      <c r="C8" s="16"/>
      <c r="D8" s="16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9" s="15" customFormat="1" x14ac:dyDescent="0.25">
      <c r="A9" s="18" t="str">
        <f>RESUMEN!A9</f>
        <v>PERIODO REPORTADO: 02-AGOSTO DE 2024 AL 31-MARZO DE 2025</v>
      </c>
      <c r="B9" s="1"/>
      <c r="C9" s="1"/>
      <c r="D9" s="1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9" s="15" customFormat="1" x14ac:dyDescent="0.25">
      <c r="A10" s="1" t="str">
        <f>RESUMEN!A10</f>
        <v>SECRETARÍA DE ECONOMÍA CON INFORMACIÓN DE VUCEM Y OPERACIONES DE COMERCIO EXTERIOR (BCMM)</v>
      </c>
      <c r="B10" s="1"/>
      <c r="C10" s="1"/>
      <c r="D10" s="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2" spans="1:19" ht="30" customHeight="1" x14ac:dyDescent="0.25">
      <c r="A12" s="51" t="s">
        <v>4</v>
      </c>
      <c r="B12" s="52"/>
      <c r="C12" s="52"/>
      <c r="D12" s="52"/>
      <c r="E12" s="52"/>
      <c r="F12" s="52"/>
      <c r="G12" s="52"/>
      <c r="H12" s="52"/>
      <c r="I12" s="53"/>
      <c r="J12" s="54" t="s">
        <v>18</v>
      </c>
      <c r="K12" s="55"/>
      <c r="L12" s="56" t="s">
        <v>6</v>
      </c>
      <c r="M12" s="57"/>
      <c r="N12" s="57"/>
      <c r="O12" s="58"/>
    </row>
    <row r="13" spans="1:19" s="12" customFormat="1" ht="60" x14ac:dyDescent="0.25">
      <c r="A13" s="33" t="s">
        <v>7</v>
      </c>
      <c r="B13" s="33" t="s">
        <v>1</v>
      </c>
      <c r="C13" s="33" t="s">
        <v>0</v>
      </c>
      <c r="D13" s="33" t="s">
        <v>21</v>
      </c>
      <c r="E13" s="33" t="s">
        <v>2</v>
      </c>
      <c r="F13" s="33" t="s">
        <v>3</v>
      </c>
      <c r="G13" s="33" t="s">
        <v>8</v>
      </c>
      <c r="H13" s="33" t="s">
        <v>5</v>
      </c>
      <c r="I13" s="33" t="s">
        <v>19</v>
      </c>
      <c r="J13" s="34" t="s">
        <v>52</v>
      </c>
      <c r="K13" s="35" t="s">
        <v>22</v>
      </c>
      <c r="L13" s="36" t="s">
        <v>20</v>
      </c>
      <c r="M13" s="36" t="s">
        <v>0</v>
      </c>
      <c r="N13" s="36" t="s">
        <v>53</v>
      </c>
      <c r="O13" s="36" t="s">
        <v>29</v>
      </c>
    </row>
    <row r="14" spans="1:19" s="14" customFormat="1" x14ac:dyDescent="0.25">
      <c r="A14" s="38"/>
      <c r="B14" s="39" t="s">
        <v>62</v>
      </c>
      <c r="C14" s="39" t="s">
        <v>63</v>
      </c>
      <c r="D14" s="40">
        <v>2365180</v>
      </c>
      <c r="E14" s="39" t="s">
        <v>57</v>
      </c>
      <c r="F14" s="39" t="s">
        <v>71</v>
      </c>
      <c r="G14" s="39"/>
      <c r="H14" s="39"/>
      <c r="I14" s="40"/>
      <c r="J14" s="40"/>
      <c r="K14" s="40"/>
      <c r="L14" s="41"/>
      <c r="M14" s="38"/>
      <c r="N14" s="38"/>
      <c r="O14" s="38"/>
      <c r="P14" s="13"/>
      <c r="Q14" s="13"/>
      <c r="R14" s="13"/>
      <c r="S14" s="13"/>
    </row>
    <row r="15" spans="1:19" s="14" customFormat="1" x14ac:dyDescent="0.25">
      <c r="A15" s="38"/>
      <c r="B15" s="39" t="s">
        <v>64</v>
      </c>
      <c r="C15" s="39" t="s">
        <v>65</v>
      </c>
      <c r="D15" s="40">
        <v>207206</v>
      </c>
      <c r="E15" s="39" t="s">
        <v>57</v>
      </c>
      <c r="F15" s="39" t="s">
        <v>72</v>
      </c>
      <c r="G15" s="39"/>
      <c r="H15" s="39"/>
      <c r="I15" s="40"/>
      <c r="J15" s="40"/>
      <c r="K15" s="40"/>
      <c r="L15" s="41"/>
      <c r="M15" s="38"/>
      <c r="N15" s="38"/>
      <c r="O15" s="38"/>
      <c r="P15" s="13"/>
      <c r="Q15" s="13"/>
      <c r="R15" s="13"/>
      <c r="S15" s="13"/>
    </row>
    <row r="16" spans="1:19" s="14" customFormat="1" x14ac:dyDescent="0.25">
      <c r="A16" s="38" t="s">
        <v>70</v>
      </c>
      <c r="B16" s="39" t="s">
        <v>66</v>
      </c>
      <c r="C16" s="39" t="s">
        <v>67</v>
      </c>
      <c r="D16" s="40">
        <v>2365180</v>
      </c>
      <c r="E16" s="39" t="s">
        <v>60</v>
      </c>
      <c r="F16" s="39" t="s">
        <v>73</v>
      </c>
      <c r="G16" s="39" t="s">
        <v>75</v>
      </c>
      <c r="H16" s="39" t="s">
        <v>83</v>
      </c>
      <c r="I16" s="40">
        <v>842685</v>
      </c>
      <c r="J16" s="40">
        <v>0</v>
      </c>
      <c r="K16" s="40">
        <v>842685</v>
      </c>
      <c r="L16" s="41"/>
      <c r="M16" s="38"/>
      <c r="N16" s="38"/>
      <c r="O16" s="38"/>
      <c r="P16" s="13"/>
      <c r="Q16" s="13"/>
      <c r="R16" s="13"/>
      <c r="S16" s="13"/>
    </row>
    <row r="17" spans="1:19" s="14" customFormat="1" x14ac:dyDescent="0.25">
      <c r="A17" s="38" t="s">
        <v>70</v>
      </c>
      <c r="B17" s="39" t="s">
        <v>66</v>
      </c>
      <c r="C17" s="39" t="s">
        <v>67</v>
      </c>
      <c r="D17" s="40"/>
      <c r="E17" s="39" t="s">
        <v>60</v>
      </c>
      <c r="F17" s="39" t="s">
        <v>73</v>
      </c>
      <c r="G17" s="39" t="s">
        <v>76</v>
      </c>
      <c r="H17" s="39" t="s">
        <v>83</v>
      </c>
      <c r="I17" s="40">
        <v>40495</v>
      </c>
      <c r="J17" s="40">
        <v>0</v>
      </c>
      <c r="K17" s="40">
        <v>40495</v>
      </c>
      <c r="L17" s="41"/>
      <c r="M17" s="38"/>
      <c r="N17" s="38"/>
      <c r="O17" s="38"/>
      <c r="P17" s="13"/>
      <c r="Q17" s="13"/>
      <c r="R17" s="13"/>
      <c r="S17" s="13"/>
    </row>
    <row r="18" spans="1:19" s="14" customFormat="1" x14ac:dyDescent="0.25">
      <c r="A18" s="38" t="s">
        <v>70</v>
      </c>
      <c r="B18" s="39" t="s">
        <v>66</v>
      </c>
      <c r="C18" s="39" t="s">
        <v>67</v>
      </c>
      <c r="D18" s="40"/>
      <c r="E18" s="39" t="s">
        <v>60</v>
      </c>
      <c r="F18" s="39" t="s">
        <v>73</v>
      </c>
      <c r="G18" s="39" t="s">
        <v>87</v>
      </c>
      <c r="H18" s="39" t="s">
        <v>83</v>
      </c>
      <c r="I18" s="40">
        <v>6250</v>
      </c>
      <c r="J18" s="40">
        <v>6250</v>
      </c>
      <c r="K18" s="40">
        <v>0</v>
      </c>
      <c r="L18" s="41"/>
      <c r="M18" s="38"/>
      <c r="N18" s="38"/>
      <c r="O18" s="38"/>
      <c r="P18" s="13"/>
      <c r="Q18" s="13"/>
      <c r="R18" s="13"/>
      <c r="S18" s="13"/>
    </row>
    <row r="19" spans="1:19" s="14" customFormat="1" x14ac:dyDescent="0.25">
      <c r="A19" s="38" t="s">
        <v>70</v>
      </c>
      <c r="B19" s="39" t="s">
        <v>66</v>
      </c>
      <c r="C19" s="39" t="s">
        <v>67</v>
      </c>
      <c r="D19" s="40"/>
      <c r="E19" s="39" t="s">
        <v>60</v>
      </c>
      <c r="F19" s="39" t="s">
        <v>73</v>
      </c>
      <c r="G19" s="39" t="s">
        <v>88</v>
      </c>
      <c r="H19" s="39" t="s">
        <v>83</v>
      </c>
      <c r="I19" s="40">
        <v>22010</v>
      </c>
      <c r="J19" s="40">
        <v>22010</v>
      </c>
      <c r="K19" s="40">
        <v>0</v>
      </c>
      <c r="L19" s="41"/>
      <c r="M19" s="38"/>
      <c r="N19" s="38"/>
      <c r="O19" s="38"/>
      <c r="P19" s="13"/>
      <c r="Q19" s="13"/>
      <c r="R19" s="13"/>
      <c r="S19" s="13"/>
    </row>
    <row r="20" spans="1:19" s="14" customFormat="1" x14ac:dyDescent="0.25">
      <c r="A20" s="38" t="s">
        <v>70</v>
      </c>
      <c r="B20" s="39" t="s">
        <v>66</v>
      </c>
      <c r="C20" s="39" t="s">
        <v>67</v>
      </c>
      <c r="D20" s="40"/>
      <c r="E20" s="39" t="s">
        <v>60</v>
      </c>
      <c r="F20" s="39" t="s">
        <v>73</v>
      </c>
      <c r="G20" s="39" t="s">
        <v>89</v>
      </c>
      <c r="H20" s="39" t="s">
        <v>83</v>
      </c>
      <c r="I20" s="40">
        <v>5640</v>
      </c>
      <c r="J20" s="40">
        <v>5640</v>
      </c>
      <c r="K20" s="40">
        <v>0</v>
      </c>
      <c r="L20" s="41"/>
      <c r="M20" s="38"/>
      <c r="N20" s="38"/>
      <c r="O20" s="38"/>
      <c r="P20" s="13"/>
      <c r="Q20" s="13"/>
      <c r="R20" s="13"/>
      <c r="S20" s="13"/>
    </row>
    <row r="21" spans="1:19" s="14" customFormat="1" x14ac:dyDescent="0.25">
      <c r="A21" s="38" t="s">
        <v>70</v>
      </c>
      <c r="B21" s="39" t="s">
        <v>66</v>
      </c>
      <c r="C21" s="39" t="s">
        <v>67</v>
      </c>
      <c r="D21" s="40"/>
      <c r="E21" s="39" t="s">
        <v>60</v>
      </c>
      <c r="F21" s="39" t="s">
        <v>73</v>
      </c>
      <c r="G21" s="39" t="s">
        <v>90</v>
      </c>
      <c r="H21" s="39" t="s">
        <v>83</v>
      </c>
      <c r="I21" s="40">
        <v>13040</v>
      </c>
      <c r="J21" s="40">
        <v>13040</v>
      </c>
      <c r="K21" s="40">
        <v>0</v>
      </c>
      <c r="L21" s="41"/>
      <c r="M21" s="38"/>
      <c r="N21" s="38"/>
      <c r="O21" s="38"/>
      <c r="P21" s="13"/>
      <c r="Q21" s="13"/>
      <c r="R21" s="13"/>
      <c r="S21" s="13"/>
    </row>
    <row r="22" spans="1:19" s="14" customFormat="1" x14ac:dyDescent="0.25">
      <c r="A22" s="38" t="s">
        <v>70</v>
      </c>
      <c r="B22" s="39" t="s">
        <v>66</v>
      </c>
      <c r="C22" s="39" t="s">
        <v>67</v>
      </c>
      <c r="D22" s="40"/>
      <c r="E22" s="39" t="s">
        <v>60</v>
      </c>
      <c r="F22" s="39" t="s">
        <v>73</v>
      </c>
      <c r="G22" s="39" t="s">
        <v>91</v>
      </c>
      <c r="H22" s="39" t="s">
        <v>83</v>
      </c>
      <c r="I22" s="40">
        <v>323650</v>
      </c>
      <c r="J22" s="40">
        <v>323650</v>
      </c>
      <c r="K22" s="40">
        <v>0</v>
      </c>
      <c r="L22" s="41"/>
      <c r="M22" s="38"/>
      <c r="N22" s="38"/>
      <c r="O22" s="38"/>
      <c r="P22" s="13"/>
      <c r="Q22" s="13"/>
      <c r="R22" s="13"/>
      <c r="S22" s="13"/>
    </row>
    <row r="23" spans="1:19" s="14" customFormat="1" x14ac:dyDescent="0.25">
      <c r="A23" s="38" t="s">
        <v>59</v>
      </c>
      <c r="B23" s="39" t="s">
        <v>68</v>
      </c>
      <c r="C23" s="39" t="s">
        <v>69</v>
      </c>
      <c r="D23" s="40">
        <v>1000000</v>
      </c>
      <c r="E23" s="39" t="s">
        <v>60</v>
      </c>
      <c r="F23" s="39" t="s">
        <v>74</v>
      </c>
      <c r="G23" s="39" t="s">
        <v>77</v>
      </c>
      <c r="H23" s="39" t="s">
        <v>83</v>
      </c>
      <c r="I23" s="40">
        <v>20097</v>
      </c>
      <c r="J23" s="40">
        <v>0</v>
      </c>
      <c r="K23" s="40">
        <v>20097</v>
      </c>
      <c r="L23" s="41"/>
      <c r="M23" s="38"/>
      <c r="N23" s="38"/>
      <c r="O23" s="38"/>
      <c r="P23" s="13"/>
      <c r="Q23" s="13"/>
      <c r="R23" s="13"/>
      <c r="S23" s="13"/>
    </row>
    <row r="24" spans="1:19" s="14" customFormat="1" x14ac:dyDescent="0.25">
      <c r="A24" s="38" t="s">
        <v>59</v>
      </c>
      <c r="B24" s="39" t="s">
        <v>68</v>
      </c>
      <c r="C24" s="39" t="s">
        <v>69</v>
      </c>
      <c r="D24" s="40"/>
      <c r="E24" s="39" t="s">
        <v>60</v>
      </c>
      <c r="F24" s="39" t="s">
        <v>74</v>
      </c>
      <c r="G24" s="39" t="s">
        <v>78</v>
      </c>
      <c r="H24" s="39" t="s">
        <v>83</v>
      </c>
      <c r="I24" s="40">
        <v>187109</v>
      </c>
      <c r="J24" s="40">
        <v>0</v>
      </c>
      <c r="K24" s="40">
        <v>187109</v>
      </c>
      <c r="L24" s="41"/>
      <c r="M24" s="38"/>
      <c r="N24" s="38"/>
      <c r="O24" s="38"/>
      <c r="P24" s="13"/>
      <c r="Q24" s="13"/>
      <c r="R24" s="13"/>
      <c r="S24" s="13"/>
    </row>
    <row r="25" spans="1:19" s="14" customFormat="1" x14ac:dyDescent="0.25">
      <c r="A25" s="38" t="s">
        <v>59</v>
      </c>
      <c r="B25" s="39" t="s">
        <v>68</v>
      </c>
      <c r="C25" s="39" t="s">
        <v>69</v>
      </c>
      <c r="D25" s="40"/>
      <c r="E25" s="39" t="s">
        <v>60</v>
      </c>
      <c r="F25" s="39" t="s">
        <v>74</v>
      </c>
      <c r="G25" s="39" t="s">
        <v>79</v>
      </c>
      <c r="H25" s="39" t="s">
        <v>83</v>
      </c>
      <c r="I25" s="40">
        <v>3000</v>
      </c>
      <c r="J25" s="40">
        <v>0</v>
      </c>
      <c r="K25" s="40">
        <v>3000</v>
      </c>
      <c r="L25" s="41"/>
      <c r="M25" s="38"/>
      <c r="N25" s="38"/>
      <c r="O25" s="38"/>
      <c r="P25" s="13"/>
      <c r="Q25" s="13"/>
      <c r="R25" s="13"/>
      <c r="S25" s="13"/>
    </row>
    <row r="26" spans="1:19" s="14" customFormat="1" x14ac:dyDescent="0.25">
      <c r="A26" s="38" t="s">
        <v>59</v>
      </c>
      <c r="B26" s="39" t="s">
        <v>68</v>
      </c>
      <c r="C26" s="39" t="s">
        <v>69</v>
      </c>
      <c r="D26" s="40"/>
      <c r="E26" s="39" t="s">
        <v>60</v>
      </c>
      <c r="F26" s="39" t="s">
        <v>74</v>
      </c>
      <c r="G26" s="39" t="s">
        <v>80</v>
      </c>
      <c r="H26" s="39" t="s">
        <v>83</v>
      </c>
      <c r="I26" s="40">
        <v>22520</v>
      </c>
      <c r="J26" s="40">
        <v>0</v>
      </c>
      <c r="K26" s="40">
        <v>22520</v>
      </c>
      <c r="L26" s="41"/>
      <c r="M26" s="38"/>
      <c r="N26" s="38"/>
      <c r="O26" s="38"/>
      <c r="P26" s="13"/>
      <c r="Q26" s="13"/>
      <c r="R26" s="13"/>
      <c r="S26" s="13"/>
    </row>
    <row r="27" spans="1:19" s="14" customFormat="1" x14ac:dyDescent="0.25">
      <c r="A27" s="38" t="s">
        <v>59</v>
      </c>
      <c r="B27" s="39" t="s">
        <v>68</v>
      </c>
      <c r="C27" s="39" t="s">
        <v>69</v>
      </c>
      <c r="D27" s="40"/>
      <c r="E27" s="39" t="s">
        <v>60</v>
      </c>
      <c r="F27" s="39" t="s">
        <v>74</v>
      </c>
      <c r="G27" s="39" t="s">
        <v>81</v>
      </c>
      <c r="H27" s="39" t="s">
        <v>83</v>
      </c>
      <c r="I27" s="40">
        <v>358300</v>
      </c>
      <c r="J27" s="40">
        <v>0</v>
      </c>
      <c r="K27" s="40">
        <v>358300</v>
      </c>
      <c r="L27" s="41"/>
      <c r="M27" s="38"/>
      <c r="N27" s="38"/>
      <c r="O27" s="38"/>
      <c r="P27" s="13"/>
      <c r="Q27" s="13"/>
      <c r="R27" s="13"/>
      <c r="S27" s="13"/>
    </row>
    <row r="28" spans="1:19" s="14" customFormat="1" x14ac:dyDescent="0.25">
      <c r="A28" s="38" t="s">
        <v>59</v>
      </c>
      <c r="B28" s="39" t="s">
        <v>68</v>
      </c>
      <c r="C28" s="39" t="s">
        <v>69</v>
      </c>
      <c r="D28" s="40"/>
      <c r="E28" s="39" t="s">
        <v>60</v>
      </c>
      <c r="F28" s="39" t="s">
        <v>74</v>
      </c>
      <c r="G28" s="39" t="s">
        <v>82</v>
      </c>
      <c r="H28" s="39" t="s">
        <v>83</v>
      </c>
      <c r="I28" s="40">
        <v>96378</v>
      </c>
      <c r="J28" s="40">
        <v>0</v>
      </c>
      <c r="K28" s="40">
        <v>96378</v>
      </c>
      <c r="L28" s="41"/>
      <c r="M28" s="38"/>
      <c r="N28" s="38"/>
      <c r="O28" s="38"/>
      <c r="P28" s="13"/>
      <c r="Q28" s="13"/>
      <c r="R28" s="13"/>
      <c r="S28" s="13"/>
    </row>
    <row r="29" spans="1:19" s="14" customFormat="1" x14ac:dyDescent="0.25">
      <c r="A29" s="38" t="s">
        <v>59</v>
      </c>
      <c r="B29" s="39" t="s">
        <v>68</v>
      </c>
      <c r="C29" s="39" t="s">
        <v>69</v>
      </c>
      <c r="D29" s="40"/>
      <c r="E29" s="39" t="s">
        <v>60</v>
      </c>
      <c r="F29" s="39" t="s">
        <v>74</v>
      </c>
      <c r="G29" s="39" t="s">
        <v>92</v>
      </c>
      <c r="H29" s="39" t="s">
        <v>83</v>
      </c>
      <c r="I29" s="40">
        <v>5005</v>
      </c>
      <c r="J29" s="40">
        <v>5005</v>
      </c>
      <c r="K29" s="40">
        <v>0</v>
      </c>
      <c r="L29" s="41"/>
      <c r="M29" s="38"/>
      <c r="N29" s="38"/>
      <c r="O29" s="38"/>
      <c r="P29" s="13"/>
      <c r="Q29" s="13"/>
      <c r="R29" s="13"/>
      <c r="S29" s="13"/>
    </row>
    <row r="30" spans="1:19" s="14" customFormat="1" x14ac:dyDescent="0.25">
      <c r="A30" s="38" t="s">
        <v>59</v>
      </c>
      <c r="B30" s="39" t="s">
        <v>68</v>
      </c>
      <c r="C30" s="39" t="s">
        <v>69</v>
      </c>
      <c r="D30" s="40"/>
      <c r="E30" s="39" t="s">
        <v>60</v>
      </c>
      <c r="F30" s="39" t="s">
        <v>74</v>
      </c>
      <c r="G30" s="39" t="s">
        <v>93</v>
      </c>
      <c r="H30" s="39" t="s">
        <v>83</v>
      </c>
      <c r="I30" s="40">
        <v>68490</v>
      </c>
      <c r="J30" s="40">
        <v>68490</v>
      </c>
      <c r="K30" s="40">
        <v>0</v>
      </c>
      <c r="L30" s="41"/>
      <c r="M30" s="38"/>
      <c r="N30" s="38"/>
      <c r="O30" s="38"/>
      <c r="P30" s="13"/>
      <c r="Q30" s="13"/>
      <c r="R30" s="13"/>
      <c r="S30" s="13"/>
    </row>
    <row r="31" spans="1:19" s="14" customFormat="1" x14ac:dyDescent="0.25">
      <c r="A31" s="38" t="s">
        <v>59</v>
      </c>
      <c r="B31" s="39" t="s">
        <v>68</v>
      </c>
      <c r="C31" s="39" t="s">
        <v>69</v>
      </c>
      <c r="D31" s="40"/>
      <c r="E31" s="39" t="s">
        <v>60</v>
      </c>
      <c r="F31" s="39" t="s">
        <v>74</v>
      </c>
      <c r="G31" s="39" t="s">
        <v>94</v>
      </c>
      <c r="H31" s="39" t="s">
        <v>83</v>
      </c>
      <c r="I31" s="40">
        <v>237585</v>
      </c>
      <c r="J31" s="40">
        <v>237585</v>
      </c>
      <c r="K31" s="40">
        <v>0</v>
      </c>
      <c r="L31" s="41"/>
      <c r="M31" s="38"/>
      <c r="N31" s="38"/>
      <c r="O31" s="38"/>
      <c r="P31" s="13"/>
      <c r="Q31" s="13"/>
      <c r="R31" s="13"/>
      <c r="S31" s="13"/>
    </row>
    <row r="32" spans="1:19" s="14" customFormat="1" x14ac:dyDescent="0.25">
      <c r="A32" s="43"/>
      <c r="B32" s="44"/>
      <c r="C32" s="44"/>
      <c r="D32" s="45"/>
      <c r="E32" s="44"/>
      <c r="F32" s="44"/>
      <c r="G32" s="44"/>
      <c r="H32" s="44"/>
      <c r="I32" s="45"/>
      <c r="J32" s="45"/>
      <c r="K32" s="45"/>
      <c r="L32" s="46"/>
      <c r="M32" s="43"/>
      <c r="N32" s="43"/>
      <c r="O32" s="43"/>
      <c r="P32" s="13"/>
      <c r="Q32" s="13"/>
      <c r="R32" s="13"/>
      <c r="S32" s="13"/>
    </row>
    <row r="33" spans="1:10" ht="36.75" customHeight="1" x14ac:dyDescent="0.25">
      <c r="A33" s="60" t="s">
        <v>95</v>
      </c>
      <c r="B33" s="60"/>
      <c r="C33" s="60"/>
      <c r="D33" s="60"/>
      <c r="E33" s="60"/>
      <c r="J33" s="37"/>
    </row>
    <row r="34" spans="1:10" ht="15" x14ac:dyDescent="0.25">
      <c r="A34" s="59" t="s">
        <v>26</v>
      </c>
      <c r="B34" s="59"/>
      <c r="C34" s="59"/>
      <c r="D34" s="59"/>
      <c r="J34" s="37"/>
    </row>
    <row r="35" spans="1:10" x14ac:dyDescent="0.25">
      <c r="A35" s="4"/>
      <c r="B35" s="3"/>
    </row>
    <row r="36" spans="1:10" x14ac:dyDescent="0.25">
      <c r="A36" s="4"/>
      <c r="B36" s="3"/>
    </row>
    <row r="37" spans="1:10" x14ac:dyDescent="0.25">
      <c r="B37" s="3"/>
    </row>
    <row r="38" spans="1:10" x14ac:dyDescent="0.25">
      <c r="B38" s="3"/>
    </row>
    <row r="39" spans="1:10" x14ac:dyDescent="0.25">
      <c r="A39" s="4"/>
      <c r="B39" s="3"/>
    </row>
    <row r="40" spans="1:10" x14ac:dyDescent="0.25">
      <c r="A40" s="4"/>
      <c r="B40" s="3"/>
    </row>
    <row r="41" spans="1:10" x14ac:dyDescent="0.25">
      <c r="A41" s="4"/>
      <c r="B41" s="3"/>
    </row>
    <row r="42" spans="1:10" x14ac:dyDescent="0.25">
      <c r="A42" s="4"/>
      <c r="B42" s="3"/>
    </row>
    <row r="43" spans="1:10" x14ac:dyDescent="0.25">
      <c r="B43" s="5"/>
    </row>
    <row r="47" spans="1:10" x14ac:dyDescent="0.25">
      <c r="B47" s="5"/>
    </row>
    <row r="48" spans="1:10" x14ac:dyDescent="0.25">
      <c r="B48" s="5"/>
    </row>
  </sheetData>
  <sortState ref="A14:O21">
    <sortCondition ref="B14:B21"/>
  </sortState>
  <mergeCells count="5">
    <mergeCell ref="A12:I12"/>
    <mergeCell ref="J12:K12"/>
    <mergeCell ref="L12:O12"/>
    <mergeCell ref="A34:D34"/>
    <mergeCell ref="A33:E33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RESUMEN</vt:lpstr>
      <vt:lpstr>EXPEDICIONES</vt:lpstr>
      <vt:lpstr>EXPEDICIONES!Área_de_impresión</vt:lpstr>
      <vt:lpstr>RESUMEN!Área_de_impresión</vt:lpstr>
      <vt:lpstr>EXPEDICIONES!Títulos_a_imprimir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SNICE</cp:lastModifiedBy>
  <cp:lastPrinted>2018-02-08T19:34:24Z</cp:lastPrinted>
  <dcterms:created xsi:type="dcterms:W3CDTF">2014-03-07T07:03:26Z</dcterms:created>
  <dcterms:modified xsi:type="dcterms:W3CDTF">2025-07-02T15:24:09Z</dcterms:modified>
</cp:coreProperties>
</file>