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ennifer.oivera\Documents\Dirección de Nomenclatura y Diseño Arancelario\SNICE\PROSEC\2024\"/>
    </mc:Choice>
  </mc:AlternateContent>
  <bookViews>
    <workbookView xWindow="0" yWindow="0" windowWidth="20490" windowHeight="6495"/>
  </bookViews>
  <sheets>
    <sheet name="ART 5" sheetId="1" r:id="rId1"/>
  </sheets>
  <externalReferences>
    <externalReference r:id="rId2"/>
  </externalReferences>
  <definedNames>
    <definedName name="_xlnm._FilterDatabase" localSheetId="0" hidden="1">'ART 5'!$B$9:$AD$904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04" i="1" l="1"/>
  <c r="H903" i="1"/>
  <c r="H901" i="1"/>
  <c r="G901" i="1"/>
  <c r="I900" i="1"/>
  <c r="H900" i="1"/>
  <c r="G900" i="1"/>
  <c r="I899" i="1"/>
  <c r="H899" i="1"/>
  <c r="G899" i="1"/>
  <c r="F899" i="1"/>
  <c r="I897" i="1"/>
  <c r="G897" i="1"/>
  <c r="I896" i="1"/>
  <c r="G896" i="1"/>
  <c r="G895" i="1"/>
  <c r="H894" i="1"/>
  <c r="G894" i="1"/>
  <c r="K893" i="1"/>
  <c r="E893" i="1"/>
  <c r="D893" i="1"/>
  <c r="H892" i="1"/>
  <c r="H890" i="1"/>
  <c r="H889" i="1"/>
  <c r="F888" i="1"/>
  <c r="D888" i="1"/>
  <c r="F887" i="1"/>
  <c r="F886" i="1"/>
  <c r="D886" i="1"/>
  <c r="H872" i="1"/>
  <c r="E872" i="1"/>
  <c r="H871" i="1"/>
  <c r="E871" i="1"/>
  <c r="H869" i="1"/>
  <c r="H868" i="1"/>
  <c r="H866" i="1"/>
  <c r="H865" i="1"/>
  <c r="H864" i="1"/>
  <c r="H863" i="1"/>
  <c r="M862" i="1"/>
  <c r="L862" i="1"/>
  <c r="E862" i="1"/>
  <c r="D862" i="1"/>
  <c r="E861" i="1"/>
  <c r="D861" i="1"/>
  <c r="E860" i="1"/>
  <c r="D860" i="1"/>
  <c r="G859" i="1"/>
  <c r="E859" i="1"/>
  <c r="D859" i="1"/>
  <c r="M858" i="1"/>
  <c r="L858" i="1"/>
  <c r="K858" i="1"/>
  <c r="E858" i="1"/>
  <c r="G857" i="1"/>
  <c r="E857" i="1"/>
  <c r="D857" i="1"/>
  <c r="G856" i="1"/>
  <c r="E856" i="1"/>
  <c r="D856" i="1"/>
  <c r="L855" i="1"/>
  <c r="K855" i="1"/>
  <c r="E855" i="1"/>
  <c r="D855" i="1"/>
  <c r="E854" i="1"/>
  <c r="D854" i="1"/>
  <c r="E853" i="1"/>
  <c r="E852" i="1"/>
  <c r="D852" i="1"/>
  <c r="G851" i="1"/>
  <c r="E851" i="1"/>
  <c r="D851" i="1"/>
  <c r="E850" i="1"/>
  <c r="D850" i="1"/>
  <c r="E849" i="1"/>
  <c r="D849" i="1"/>
  <c r="K848" i="1"/>
  <c r="J848" i="1"/>
  <c r="H848" i="1"/>
  <c r="G848" i="1"/>
  <c r="E848" i="1"/>
  <c r="D848" i="1"/>
  <c r="G847" i="1"/>
  <c r="E847" i="1"/>
  <c r="D847" i="1"/>
  <c r="E843" i="1"/>
  <c r="E842" i="1"/>
  <c r="K841" i="1"/>
  <c r="H841" i="1"/>
  <c r="G841" i="1"/>
  <c r="E841" i="1"/>
  <c r="D841" i="1"/>
  <c r="E840" i="1"/>
  <c r="H839" i="1"/>
  <c r="E839" i="1"/>
  <c r="K838" i="1"/>
  <c r="E836" i="1"/>
  <c r="D836" i="1"/>
  <c r="E835" i="1"/>
  <c r="E834" i="1"/>
  <c r="D834" i="1"/>
  <c r="E833" i="1"/>
  <c r="E832" i="1"/>
  <c r="L831" i="1"/>
  <c r="L830" i="1"/>
  <c r="E829" i="1"/>
  <c r="H828" i="1"/>
  <c r="G828" i="1"/>
  <c r="E828" i="1"/>
  <c r="D828" i="1"/>
  <c r="H824" i="1"/>
  <c r="E824" i="1"/>
  <c r="M817" i="1"/>
  <c r="M816" i="1"/>
  <c r="M809" i="1"/>
  <c r="M806" i="1"/>
  <c r="M801" i="1"/>
  <c r="E788" i="1"/>
  <c r="E787" i="1"/>
  <c r="E786" i="1"/>
  <c r="E785" i="1"/>
  <c r="E784" i="1"/>
  <c r="E783" i="1"/>
  <c r="M782" i="1"/>
  <c r="E782" i="1"/>
  <c r="D782" i="1"/>
  <c r="M781" i="1"/>
  <c r="E781" i="1"/>
  <c r="E780" i="1"/>
  <c r="E779" i="1"/>
  <c r="E778" i="1"/>
  <c r="E777" i="1"/>
  <c r="D777" i="1"/>
  <c r="E776" i="1"/>
  <c r="D776" i="1"/>
  <c r="L774" i="1"/>
  <c r="E774" i="1"/>
  <c r="D774" i="1"/>
  <c r="E773" i="1"/>
  <c r="E772" i="1"/>
  <c r="D772" i="1"/>
  <c r="H771" i="1"/>
  <c r="E771" i="1"/>
  <c r="E770" i="1"/>
  <c r="E769" i="1"/>
  <c r="D769" i="1"/>
  <c r="E768" i="1"/>
  <c r="E767" i="1"/>
  <c r="M766" i="1"/>
  <c r="E766" i="1"/>
  <c r="E765" i="1"/>
  <c r="K764" i="1"/>
  <c r="H764" i="1"/>
  <c r="G764" i="1"/>
  <c r="E764" i="1"/>
  <c r="D764" i="1"/>
  <c r="E763" i="1"/>
  <c r="D763" i="1"/>
  <c r="E762" i="1"/>
  <c r="D762" i="1"/>
  <c r="E761" i="1"/>
  <c r="K760" i="1"/>
  <c r="E760" i="1"/>
  <c r="D760" i="1"/>
  <c r="E759" i="1"/>
  <c r="L758" i="1"/>
  <c r="K758" i="1"/>
  <c r="E758" i="1"/>
  <c r="D758" i="1"/>
  <c r="E757" i="1"/>
  <c r="H756" i="1"/>
  <c r="E756" i="1"/>
  <c r="E755" i="1"/>
  <c r="E754" i="1"/>
  <c r="E753" i="1"/>
  <c r="E752" i="1"/>
  <c r="E750" i="1"/>
  <c r="E749" i="1"/>
  <c r="E744" i="1"/>
  <c r="E743" i="1"/>
  <c r="J742" i="1"/>
  <c r="G742" i="1"/>
  <c r="E742" i="1"/>
  <c r="L740" i="1"/>
  <c r="H740" i="1"/>
  <c r="E740" i="1"/>
  <c r="H739" i="1"/>
  <c r="E739" i="1"/>
  <c r="L738" i="1"/>
  <c r="H738" i="1"/>
  <c r="E738" i="1"/>
  <c r="D738" i="1"/>
  <c r="E737" i="1"/>
  <c r="E736" i="1"/>
  <c r="E735" i="1"/>
  <c r="D734" i="1"/>
  <c r="E733" i="1"/>
  <c r="D733" i="1"/>
  <c r="E732" i="1"/>
  <c r="D732" i="1"/>
  <c r="E731" i="1"/>
  <c r="D731" i="1"/>
  <c r="E730" i="1"/>
  <c r="D730" i="1"/>
  <c r="E729" i="1"/>
  <c r="E727" i="1"/>
  <c r="E725" i="1"/>
  <c r="K723" i="1"/>
  <c r="E723" i="1"/>
  <c r="E722" i="1"/>
  <c r="E721" i="1"/>
  <c r="D721" i="1"/>
  <c r="K720" i="1"/>
  <c r="H720" i="1"/>
  <c r="G720" i="1"/>
  <c r="E720" i="1"/>
  <c r="D720" i="1"/>
  <c r="K719" i="1"/>
  <c r="E719" i="1"/>
  <c r="D719" i="1"/>
  <c r="K718" i="1"/>
  <c r="H718" i="1"/>
  <c r="E718" i="1"/>
  <c r="D718" i="1"/>
  <c r="G717" i="1"/>
  <c r="E717" i="1"/>
  <c r="D717" i="1"/>
  <c r="E716" i="1"/>
  <c r="E715" i="1"/>
  <c r="D715" i="1"/>
  <c r="K714" i="1"/>
  <c r="H714" i="1"/>
  <c r="G714" i="1"/>
  <c r="E714" i="1"/>
  <c r="D714" i="1"/>
  <c r="E713" i="1"/>
  <c r="D713" i="1"/>
  <c r="G712" i="1"/>
  <c r="E712" i="1"/>
  <c r="D712" i="1"/>
  <c r="E711" i="1"/>
  <c r="D711" i="1"/>
  <c r="K710" i="1"/>
  <c r="H710" i="1"/>
  <c r="G710" i="1"/>
  <c r="E710" i="1"/>
  <c r="D710" i="1"/>
  <c r="E708" i="1"/>
  <c r="D708" i="1"/>
  <c r="E707" i="1"/>
  <c r="D707" i="1"/>
  <c r="M706" i="1"/>
  <c r="J705" i="1"/>
  <c r="E705" i="1"/>
  <c r="D705" i="1"/>
  <c r="J704" i="1"/>
  <c r="E704" i="1"/>
  <c r="D704" i="1"/>
  <c r="E702" i="1"/>
  <c r="D702" i="1"/>
  <c r="E701" i="1"/>
  <c r="D701" i="1"/>
  <c r="H700" i="1"/>
  <c r="E700" i="1"/>
  <c r="G699" i="1"/>
  <c r="E699" i="1"/>
  <c r="D699" i="1"/>
  <c r="E698" i="1"/>
  <c r="D698" i="1"/>
  <c r="E697" i="1"/>
  <c r="D697" i="1"/>
  <c r="E696" i="1"/>
  <c r="E695" i="1"/>
  <c r="E694" i="1"/>
  <c r="H693" i="1"/>
  <c r="G693" i="1"/>
  <c r="E693" i="1"/>
  <c r="K692" i="1"/>
  <c r="J692" i="1"/>
  <c r="E692" i="1"/>
  <c r="D692" i="1"/>
  <c r="L691" i="1"/>
  <c r="K691" i="1"/>
  <c r="E691" i="1"/>
  <c r="D691" i="1"/>
  <c r="M690" i="1"/>
  <c r="L690" i="1"/>
  <c r="K690" i="1"/>
  <c r="H690" i="1"/>
  <c r="G690" i="1"/>
  <c r="E690" i="1"/>
  <c r="D690" i="1"/>
  <c r="H689" i="1"/>
  <c r="G689" i="1"/>
  <c r="E689" i="1"/>
  <c r="D689" i="1"/>
  <c r="E688" i="1"/>
  <c r="D688" i="1"/>
  <c r="E687" i="1"/>
  <c r="E686" i="1"/>
  <c r="E685" i="1"/>
  <c r="D685" i="1"/>
  <c r="E684" i="1"/>
  <c r="E683" i="1"/>
  <c r="K682" i="1"/>
  <c r="E682" i="1"/>
  <c r="E681" i="1"/>
  <c r="D681" i="1"/>
  <c r="E680" i="1"/>
  <c r="E679" i="1"/>
  <c r="E678" i="1"/>
  <c r="D678" i="1"/>
  <c r="E676" i="1"/>
  <c r="D676" i="1"/>
  <c r="E674" i="1"/>
  <c r="D674" i="1"/>
  <c r="E673" i="1"/>
  <c r="D673" i="1"/>
  <c r="K672" i="1"/>
  <c r="G672" i="1"/>
  <c r="E672" i="1"/>
  <c r="D672" i="1"/>
  <c r="E671" i="1"/>
  <c r="D671" i="1"/>
  <c r="H670" i="1"/>
  <c r="G670" i="1"/>
  <c r="E670" i="1"/>
  <c r="D670" i="1"/>
  <c r="E669" i="1"/>
  <c r="D669" i="1"/>
  <c r="K668" i="1"/>
  <c r="E668" i="1"/>
  <c r="D668" i="1"/>
  <c r="K667" i="1"/>
  <c r="E667" i="1"/>
  <c r="D667" i="1"/>
  <c r="E666" i="1"/>
  <c r="D666" i="1"/>
  <c r="G665" i="1"/>
  <c r="E665" i="1"/>
  <c r="D665" i="1"/>
  <c r="E664" i="1"/>
  <c r="J663" i="1"/>
  <c r="G663" i="1"/>
  <c r="E663" i="1"/>
  <c r="D663" i="1"/>
  <c r="K662" i="1"/>
  <c r="J662" i="1"/>
  <c r="H662" i="1"/>
  <c r="G662" i="1"/>
  <c r="E662" i="1"/>
  <c r="D662" i="1"/>
  <c r="K661" i="1"/>
  <c r="J661" i="1"/>
  <c r="H661" i="1"/>
  <c r="G661" i="1"/>
  <c r="E661" i="1"/>
  <c r="D661" i="1"/>
  <c r="E660" i="1"/>
  <c r="E659" i="1"/>
  <c r="D658" i="1"/>
  <c r="H657" i="1"/>
  <c r="G657" i="1"/>
  <c r="E657" i="1"/>
  <c r="D657" i="1"/>
  <c r="E656" i="1"/>
  <c r="D656" i="1"/>
  <c r="K655" i="1"/>
  <c r="J655" i="1"/>
  <c r="H655" i="1"/>
  <c r="G655" i="1"/>
  <c r="E655" i="1"/>
  <c r="D655" i="1"/>
  <c r="K654" i="1"/>
  <c r="J654" i="1"/>
  <c r="G654" i="1"/>
  <c r="E654" i="1"/>
  <c r="D654" i="1"/>
  <c r="E653" i="1"/>
  <c r="D653" i="1"/>
  <c r="L652" i="1"/>
  <c r="E652" i="1"/>
  <c r="D652" i="1"/>
  <c r="J651" i="1"/>
  <c r="H651" i="1"/>
  <c r="G651" i="1"/>
  <c r="E651" i="1"/>
  <c r="D651" i="1"/>
  <c r="E650" i="1"/>
  <c r="D650" i="1"/>
  <c r="M649" i="1"/>
  <c r="E649" i="1"/>
  <c r="D649" i="1"/>
  <c r="M648" i="1"/>
  <c r="K648" i="1"/>
  <c r="H648" i="1"/>
  <c r="G648" i="1"/>
  <c r="E648" i="1"/>
  <c r="D648" i="1"/>
  <c r="M647" i="1"/>
  <c r="K647" i="1"/>
  <c r="M646" i="1"/>
  <c r="K646" i="1"/>
  <c r="J646" i="1"/>
  <c r="G646" i="1"/>
  <c r="E646" i="1"/>
  <c r="D646" i="1"/>
  <c r="J645" i="1"/>
  <c r="G645" i="1"/>
  <c r="E645" i="1"/>
  <c r="D645" i="1"/>
  <c r="M644" i="1"/>
  <c r="M643" i="1"/>
  <c r="M642" i="1"/>
  <c r="M641" i="1"/>
  <c r="L641" i="1"/>
  <c r="K641" i="1"/>
  <c r="J641" i="1"/>
  <c r="H641" i="1"/>
  <c r="G641" i="1"/>
  <c r="E641" i="1"/>
  <c r="D641" i="1"/>
  <c r="E640" i="1"/>
  <c r="M638" i="1"/>
  <c r="K638" i="1"/>
  <c r="I638" i="1"/>
  <c r="H638" i="1"/>
  <c r="E638" i="1"/>
  <c r="D638" i="1"/>
  <c r="E637" i="1"/>
  <c r="M636" i="1"/>
  <c r="K636" i="1"/>
  <c r="E636" i="1"/>
  <c r="D636" i="1"/>
  <c r="F635" i="1"/>
  <c r="F634" i="1"/>
  <c r="K633" i="1"/>
  <c r="J632" i="1"/>
  <c r="G632" i="1"/>
  <c r="D632" i="1"/>
  <c r="E630" i="1"/>
  <c r="E628" i="1"/>
  <c r="J627" i="1"/>
  <c r="H627" i="1"/>
  <c r="G627" i="1"/>
  <c r="E626" i="1"/>
  <c r="D626" i="1"/>
  <c r="G624" i="1"/>
  <c r="E624" i="1"/>
  <c r="D624" i="1"/>
  <c r="E623" i="1"/>
  <c r="D623" i="1"/>
  <c r="J621" i="1"/>
  <c r="G621" i="1"/>
  <c r="E621" i="1"/>
  <c r="H620" i="1"/>
  <c r="G620" i="1"/>
  <c r="E619" i="1"/>
  <c r="H618" i="1"/>
  <c r="G618" i="1"/>
  <c r="E618" i="1"/>
  <c r="D618" i="1"/>
  <c r="E617" i="1"/>
  <c r="D617" i="1"/>
  <c r="H616" i="1"/>
  <c r="G616" i="1"/>
  <c r="E616" i="1"/>
  <c r="D616" i="1"/>
  <c r="K615" i="1"/>
  <c r="E615" i="1"/>
  <c r="K612" i="1"/>
  <c r="G612" i="1"/>
  <c r="I611" i="1"/>
  <c r="H610" i="1"/>
  <c r="E610" i="1"/>
  <c r="H609" i="1"/>
  <c r="E609" i="1"/>
  <c r="D609" i="1"/>
  <c r="E608" i="1"/>
  <c r="D608" i="1"/>
  <c r="G607" i="1"/>
  <c r="E607" i="1"/>
  <c r="D607" i="1"/>
  <c r="G606" i="1"/>
  <c r="E606" i="1"/>
  <c r="D606" i="1"/>
  <c r="G605" i="1"/>
  <c r="E605" i="1"/>
  <c r="D605" i="1"/>
  <c r="E604" i="1"/>
  <c r="D604" i="1"/>
  <c r="E603" i="1"/>
  <c r="D603" i="1"/>
  <c r="E602" i="1"/>
  <c r="D602" i="1"/>
  <c r="H601" i="1"/>
  <c r="E601" i="1"/>
  <c r="D601" i="1"/>
  <c r="G600" i="1"/>
  <c r="E600" i="1"/>
  <c r="D600" i="1"/>
  <c r="E599" i="1"/>
  <c r="G598" i="1"/>
  <c r="E598" i="1"/>
  <c r="E597" i="1"/>
  <c r="K596" i="1"/>
  <c r="G596" i="1"/>
  <c r="E596" i="1"/>
  <c r="D596" i="1"/>
  <c r="K595" i="1"/>
  <c r="J595" i="1"/>
  <c r="H595" i="1"/>
  <c r="G595" i="1"/>
  <c r="E595" i="1"/>
  <c r="D595" i="1"/>
  <c r="H594" i="1"/>
  <c r="G594" i="1"/>
  <c r="E594" i="1"/>
  <c r="D594" i="1"/>
  <c r="D593" i="1"/>
  <c r="H592" i="1"/>
  <c r="E592" i="1"/>
  <c r="D592" i="1"/>
  <c r="E591" i="1"/>
  <c r="D591" i="1"/>
  <c r="E590" i="1"/>
  <c r="D590" i="1"/>
  <c r="G589" i="1"/>
  <c r="E589" i="1"/>
  <c r="D589" i="1"/>
  <c r="H588" i="1"/>
  <c r="G588" i="1"/>
  <c r="E588" i="1"/>
  <c r="D588" i="1"/>
  <c r="E587" i="1"/>
  <c r="D587" i="1"/>
  <c r="E586" i="1"/>
  <c r="D586" i="1"/>
  <c r="E585" i="1"/>
  <c r="D585" i="1"/>
  <c r="H584" i="1"/>
  <c r="E584" i="1"/>
  <c r="D584" i="1"/>
  <c r="H583" i="1"/>
  <c r="G583" i="1"/>
  <c r="E583" i="1"/>
  <c r="D583" i="1"/>
  <c r="D582" i="1"/>
  <c r="E581" i="1"/>
  <c r="E580" i="1"/>
  <c r="D580" i="1"/>
  <c r="E579" i="1"/>
  <c r="D579" i="1"/>
  <c r="E578" i="1"/>
  <c r="E577" i="1"/>
  <c r="D577" i="1"/>
  <c r="K576" i="1"/>
  <c r="J576" i="1"/>
  <c r="G576" i="1"/>
  <c r="E576" i="1"/>
  <c r="D576" i="1"/>
  <c r="K575" i="1"/>
  <c r="J575" i="1"/>
  <c r="G575" i="1"/>
  <c r="E575" i="1"/>
  <c r="D575" i="1"/>
  <c r="K573" i="1"/>
  <c r="G573" i="1"/>
  <c r="E573" i="1"/>
  <c r="D573" i="1"/>
  <c r="G572" i="1"/>
  <c r="E572" i="1"/>
  <c r="D572" i="1"/>
  <c r="K571" i="1"/>
  <c r="H571" i="1"/>
  <c r="G571" i="1"/>
  <c r="E571" i="1"/>
  <c r="D571" i="1"/>
  <c r="K570" i="1"/>
  <c r="D570" i="1"/>
  <c r="E567" i="1"/>
  <c r="J563" i="1"/>
  <c r="J562" i="1"/>
  <c r="K561" i="1"/>
  <c r="H561" i="1"/>
  <c r="G561" i="1"/>
  <c r="E561" i="1"/>
  <c r="D561" i="1"/>
  <c r="K560" i="1"/>
  <c r="H560" i="1"/>
  <c r="G560" i="1"/>
  <c r="E560" i="1"/>
  <c r="D560" i="1"/>
  <c r="H559" i="1"/>
  <c r="E559" i="1"/>
  <c r="H558" i="1"/>
  <c r="E558" i="1"/>
  <c r="J557" i="1"/>
  <c r="I557" i="1"/>
  <c r="G557" i="1"/>
  <c r="E557" i="1"/>
  <c r="D557" i="1"/>
  <c r="J556" i="1"/>
  <c r="H556" i="1"/>
  <c r="G556" i="1"/>
  <c r="E556" i="1"/>
  <c r="D556" i="1"/>
  <c r="J555" i="1"/>
  <c r="I555" i="1"/>
  <c r="H555" i="1"/>
  <c r="G555" i="1"/>
  <c r="E555" i="1"/>
  <c r="D555" i="1"/>
  <c r="J554" i="1"/>
  <c r="H554" i="1"/>
  <c r="G554" i="1"/>
  <c r="E554" i="1"/>
  <c r="D554" i="1"/>
  <c r="G553" i="1"/>
  <c r="E553" i="1"/>
  <c r="D553" i="1"/>
  <c r="D552" i="1"/>
  <c r="E551" i="1"/>
  <c r="D551" i="1"/>
  <c r="G549" i="1"/>
  <c r="E549" i="1"/>
  <c r="D549" i="1"/>
  <c r="K548" i="1"/>
  <c r="H548" i="1"/>
  <c r="G548" i="1"/>
  <c r="E548" i="1"/>
  <c r="D548" i="1"/>
  <c r="K547" i="1"/>
  <c r="J547" i="1"/>
  <c r="G547" i="1"/>
  <c r="E547" i="1"/>
  <c r="D547" i="1"/>
  <c r="J546" i="1"/>
  <c r="G546" i="1"/>
  <c r="E546" i="1"/>
  <c r="D546" i="1"/>
  <c r="J545" i="1"/>
  <c r="G545" i="1"/>
  <c r="E545" i="1"/>
  <c r="D545" i="1"/>
  <c r="E544" i="1"/>
  <c r="K543" i="1"/>
  <c r="J543" i="1"/>
  <c r="I543" i="1"/>
  <c r="H543" i="1"/>
  <c r="G543" i="1"/>
  <c r="E543" i="1"/>
  <c r="H542" i="1"/>
  <c r="G542" i="1"/>
  <c r="E542" i="1"/>
  <c r="D542" i="1"/>
  <c r="G541" i="1"/>
  <c r="J540" i="1"/>
  <c r="G540" i="1"/>
  <c r="H539" i="1"/>
  <c r="M538" i="1"/>
  <c r="L538" i="1"/>
  <c r="K538" i="1"/>
  <c r="E538" i="1"/>
  <c r="D538" i="1"/>
  <c r="M537" i="1"/>
  <c r="L537" i="1"/>
  <c r="K537" i="1"/>
  <c r="E537" i="1"/>
  <c r="D537" i="1"/>
  <c r="M536" i="1"/>
  <c r="E536" i="1"/>
  <c r="M533" i="1"/>
  <c r="M532" i="1"/>
  <c r="E532" i="1"/>
  <c r="D532" i="1"/>
  <c r="E531" i="1"/>
  <c r="M529" i="1"/>
  <c r="H529" i="1"/>
  <c r="E529" i="1"/>
  <c r="E527" i="1"/>
  <c r="E526" i="1"/>
  <c r="H525" i="1"/>
  <c r="K523" i="1"/>
  <c r="E523" i="1"/>
  <c r="E522" i="1"/>
  <c r="E521" i="1"/>
  <c r="H520" i="1"/>
  <c r="G520" i="1"/>
  <c r="E520" i="1"/>
  <c r="D520" i="1"/>
  <c r="K519" i="1"/>
  <c r="G519" i="1"/>
  <c r="E519" i="1"/>
  <c r="D519" i="1"/>
  <c r="K518" i="1"/>
  <c r="F518" i="1"/>
  <c r="D518" i="1"/>
  <c r="E517" i="1"/>
  <c r="H516" i="1"/>
  <c r="E516" i="1"/>
  <c r="H514" i="1"/>
  <c r="K513" i="1"/>
  <c r="E512" i="1"/>
  <c r="E511" i="1"/>
  <c r="E510" i="1"/>
  <c r="M509" i="1"/>
  <c r="L509" i="1"/>
  <c r="K509" i="1"/>
  <c r="E509" i="1"/>
  <c r="D509" i="1"/>
  <c r="H508" i="1"/>
  <c r="E508" i="1"/>
  <c r="D508" i="1"/>
  <c r="H507" i="1"/>
  <c r="E507" i="1"/>
  <c r="D507" i="1"/>
  <c r="L506" i="1"/>
  <c r="K506" i="1"/>
  <c r="J506" i="1"/>
  <c r="H506" i="1"/>
  <c r="E506" i="1"/>
  <c r="D506" i="1"/>
  <c r="E504" i="1"/>
  <c r="E503" i="1"/>
  <c r="D503" i="1"/>
  <c r="H501" i="1"/>
  <c r="E501" i="1"/>
  <c r="D501" i="1"/>
  <c r="E500" i="1"/>
  <c r="E499" i="1"/>
  <c r="D499" i="1"/>
  <c r="F498" i="1"/>
  <c r="E497" i="1"/>
  <c r="D497" i="1"/>
  <c r="F496" i="1"/>
  <c r="E496" i="1"/>
  <c r="D496" i="1"/>
  <c r="E495" i="1"/>
  <c r="E494" i="1"/>
  <c r="D494" i="1"/>
  <c r="K492" i="1"/>
  <c r="J492" i="1"/>
  <c r="H492" i="1"/>
  <c r="E492" i="1"/>
  <c r="D492" i="1"/>
  <c r="J491" i="1"/>
  <c r="E491" i="1"/>
  <c r="D491" i="1"/>
  <c r="J489" i="1"/>
  <c r="H489" i="1"/>
  <c r="G489" i="1"/>
  <c r="E489" i="1"/>
  <c r="E488" i="1"/>
  <c r="E487" i="1"/>
  <c r="G485" i="1"/>
  <c r="E485" i="1"/>
  <c r="M484" i="1"/>
  <c r="K484" i="1"/>
  <c r="E481" i="1"/>
  <c r="E479" i="1"/>
  <c r="E476" i="1"/>
  <c r="E472" i="1"/>
  <c r="D472" i="1"/>
  <c r="K471" i="1"/>
  <c r="H471" i="1"/>
  <c r="E471" i="1"/>
  <c r="D471" i="1"/>
  <c r="M470" i="1"/>
  <c r="H470" i="1"/>
  <c r="M469" i="1"/>
  <c r="H469" i="1"/>
  <c r="G469" i="1"/>
  <c r="E469" i="1"/>
  <c r="I468" i="1"/>
  <c r="G468" i="1"/>
  <c r="I467" i="1"/>
  <c r="H467" i="1"/>
  <c r="G467" i="1"/>
  <c r="E467" i="1"/>
  <c r="I466" i="1"/>
  <c r="H466" i="1"/>
  <c r="G466" i="1"/>
  <c r="E466" i="1"/>
  <c r="M465" i="1"/>
  <c r="E465" i="1"/>
  <c r="G464" i="1"/>
  <c r="H463" i="1"/>
  <c r="E462" i="1"/>
  <c r="E461" i="1"/>
  <c r="D461" i="1"/>
  <c r="L460" i="1"/>
  <c r="H460" i="1"/>
  <c r="E460" i="1"/>
  <c r="D460" i="1"/>
  <c r="E459" i="1"/>
  <c r="H458" i="1"/>
  <c r="K456" i="1"/>
  <c r="E456" i="1"/>
  <c r="K454" i="1"/>
  <c r="G454" i="1"/>
  <c r="E454" i="1"/>
  <c r="D454" i="1"/>
  <c r="G453" i="1"/>
  <c r="E453" i="1"/>
  <c r="M451" i="1"/>
  <c r="L450" i="1"/>
  <c r="G450" i="1"/>
  <c r="E450" i="1"/>
  <c r="K449" i="1"/>
  <c r="H449" i="1"/>
  <c r="G449" i="1"/>
  <c r="E449" i="1"/>
  <c r="D449" i="1"/>
  <c r="L448" i="1"/>
  <c r="E448" i="1"/>
  <c r="K447" i="1"/>
  <c r="I447" i="1"/>
  <c r="E447" i="1"/>
  <c r="G446" i="1"/>
  <c r="E446" i="1"/>
  <c r="H444" i="1"/>
  <c r="G444" i="1"/>
  <c r="H443" i="1"/>
  <c r="I442" i="1"/>
  <c r="E442" i="1"/>
  <c r="H441" i="1"/>
  <c r="H440" i="1"/>
  <c r="G440" i="1"/>
  <c r="I439" i="1"/>
  <c r="H438" i="1"/>
  <c r="G438" i="1"/>
  <c r="G437" i="1"/>
  <c r="E437" i="1"/>
  <c r="H436" i="1"/>
  <c r="G436" i="1"/>
  <c r="G435" i="1"/>
  <c r="E435" i="1"/>
  <c r="K434" i="1"/>
  <c r="H434" i="1"/>
  <c r="G434" i="1"/>
  <c r="E434" i="1"/>
  <c r="K432" i="1"/>
  <c r="H432" i="1"/>
  <c r="G432" i="1"/>
  <c r="E432" i="1"/>
  <c r="D432" i="1"/>
  <c r="K431" i="1"/>
  <c r="H431" i="1"/>
  <c r="G431" i="1"/>
  <c r="E431" i="1"/>
  <c r="D431" i="1"/>
  <c r="H430" i="1"/>
  <c r="G430" i="1"/>
  <c r="E430" i="1"/>
  <c r="H429" i="1"/>
  <c r="G429" i="1"/>
  <c r="E429" i="1"/>
  <c r="H428" i="1"/>
  <c r="H427" i="1"/>
  <c r="H426" i="1"/>
  <c r="G426" i="1"/>
  <c r="E426" i="1"/>
  <c r="K425" i="1"/>
  <c r="H425" i="1"/>
  <c r="G425" i="1"/>
  <c r="E425" i="1"/>
  <c r="G424" i="1"/>
  <c r="E424" i="1"/>
  <c r="G423" i="1"/>
  <c r="E423" i="1"/>
  <c r="G422" i="1"/>
  <c r="E422" i="1"/>
  <c r="D422" i="1"/>
  <c r="G421" i="1"/>
  <c r="E421" i="1"/>
  <c r="D421" i="1"/>
  <c r="H420" i="1"/>
  <c r="G420" i="1"/>
  <c r="E420" i="1"/>
  <c r="D420" i="1"/>
  <c r="H419" i="1"/>
  <c r="G419" i="1"/>
  <c r="E419" i="1"/>
  <c r="D419" i="1"/>
  <c r="E418" i="1"/>
  <c r="D418" i="1"/>
  <c r="H417" i="1"/>
  <c r="E417" i="1"/>
  <c r="D417" i="1"/>
  <c r="H416" i="1"/>
  <c r="G416" i="1"/>
  <c r="E416" i="1"/>
  <c r="D416" i="1"/>
  <c r="H415" i="1"/>
  <c r="E415" i="1"/>
  <c r="D415" i="1"/>
  <c r="D414" i="1"/>
  <c r="D413" i="1"/>
  <c r="D412" i="1"/>
  <c r="H411" i="1"/>
  <c r="E411" i="1"/>
  <c r="D411" i="1"/>
  <c r="M410" i="1"/>
  <c r="L410" i="1"/>
  <c r="K410" i="1"/>
  <c r="H410" i="1"/>
  <c r="G410" i="1"/>
  <c r="E410" i="1"/>
  <c r="D410" i="1"/>
  <c r="E409" i="1"/>
  <c r="D409" i="1"/>
  <c r="E408" i="1"/>
  <c r="D408" i="1"/>
  <c r="H407" i="1"/>
  <c r="G407" i="1"/>
  <c r="E407" i="1"/>
  <c r="D407" i="1"/>
  <c r="E405" i="1"/>
  <c r="D405" i="1"/>
  <c r="E403" i="1"/>
  <c r="D403" i="1"/>
  <c r="E401" i="1"/>
  <c r="E400" i="1"/>
  <c r="G399" i="1"/>
  <c r="E399" i="1"/>
  <c r="D399" i="1"/>
  <c r="G398" i="1"/>
  <c r="E398" i="1"/>
  <c r="E397" i="1"/>
  <c r="E396" i="1"/>
  <c r="E395" i="1"/>
  <c r="E394" i="1"/>
  <c r="E393" i="1"/>
  <c r="G392" i="1"/>
  <c r="E392" i="1"/>
  <c r="D391" i="1"/>
  <c r="K390" i="1"/>
  <c r="H390" i="1"/>
  <c r="E390" i="1"/>
  <c r="D390" i="1"/>
  <c r="K389" i="1"/>
  <c r="E389" i="1"/>
  <c r="D389" i="1"/>
  <c r="D388" i="1"/>
  <c r="E387" i="1"/>
  <c r="D387" i="1"/>
  <c r="E386" i="1"/>
  <c r="E385" i="1"/>
  <c r="M384" i="1"/>
  <c r="E384" i="1"/>
  <c r="E382" i="1"/>
  <c r="M381" i="1"/>
  <c r="E381" i="1"/>
  <c r="E380" i="1"/>
  <c r="E379" i="1"/>
  <c r="E378" i="1"/>
  <c r="E377" i="1"/>
  <c r="E374" i="1"/>
  <c r="E372" i="1"/>
  <c r="H371" i="1"/>
  <c r="E369" i="1"/>
  <c r="H368" i="1"/>
  <c r="E368" i="1"/>
  <c r="M367" i="1"/>
  <c r="L367" i="1"/>
  <c r="G367" i="1"/>
  <c r="E367" i="1"/>
  <c r="H366" i="1"/>
  <c r="E366" i="1"/>
  <c r="D366" i="1"/>
  <c r="E365" i="1"/>
  <c r="E364" i="1"/>
  <c r="E361" i="1"/>
  <c r="M360" i="1"/>
  <c r="F356" i="1"/>
  <c r="D355" i="1"/>
  <c r="D352" i="1"/>
  <c r="D351" i="1"/>
  <c r="I348" i="1"/>
  <c r="H348" i="1"/>
  <c r="D347" i="1"/>
  <c r="F346" i="1"/>
  <c r="F345" i="1"/>
  <c r="D345" i="1"/>
  <c r="H344" i="1"/>
  <c r="E344" i="1"/>
  <c r="G343" i="1"/>
  <c r="E343" i="1"/>
  <c r="E342" i="1"/>
  <c r="E341" i="1"/>
  <c r="D341" i="1"/>
  <c r="E339" i="1"/>
  <c r="D339" i="1"/>
  <c r="D338" i="1"/>
  <c r="L337" i="1"/>
  <c r="G337" i="1"/>
  <c r="F337" i="1"/>
  <c r="D337" i="1"/>
  <c r="G336" i="1"/>
  <c r="E332" i="1"/>
  <c r="D332" i="1"/>
  <c r="D331" i="1"/>
  <c r="E330" i="1"/>
  <c r="E329" i="1"/>
  <c r="E328" i="1"/>
  <c r="E327" i="1"/>
  <c r="E326" i="1"/>
  <c r="E325" i="1"/>
  <c r="E324" i="1"/>
  <c r="M323" i="1"/>
  <c r="M322" i="1"/>
  <c r="L322" i="1"/>
  <c r="H322" i="1"/>
  <c r="E322" i="1"/>
  <c r="L321" i="1"/>
  <c r="H321" i="1"/>
  <c r="G321" i="1"/>
  <c r="E321" i="1"/>
  <c r="M320" i="1"/>
  <c r="H320" i="1"/>
  <c r="G320" i="1"/>
  <c r="E320" i="1"/>
  <c r="K319" i="1"/>
  <c r="H319" i="1"/>
  <c r="G319" i="1"/>
  <c r="E319" i="1"/>
  <c r="D319" i="1"/>
  <c r="H318" i="1"/>
  <c r="D318" i="1"/>
  <c r="I315" i="1"/>
  <c r="I314" i="1"/>
  <c r="I313" i="1"/>
  <c r="I312" i="1"/>
  <c r="G307" i="1"/>
  <c r="M306" i="1"/>
  <c r="K306" i="1"/>
  <c r="G306" i="1"/>
  <c r="E306" i="1"/>
  <c r="E305" i="1"/>
  <c r="H303" i="1"/>
  <c r="I301" i="1"/>
  <c r="I300" i="1"/>
  <c r="G300" i="1"/>
  <c r="H299" i="1"/>
  <c r="G288" i="1"/>
  <c r="M270" i="1"/>
  <c r="K268" i="1"/>
  <c r="H266" i="1"/>
  <c r="H265" i="1"/>
  <c r="G264" i="1"/>
  <c r="G263" i="1"/>
  <c r="H262" i="1"/>
  <c r="G262" i="1"/>
  <c r="E262" i="1"/>
  <c r="D262" i="1"/>
  <c r="G261" i="1"/>
  <c r="H260" i="1"/>
  <c r="G260" i="1"/>
  <c r="E260" i="1"/>
  <c r="D260" i="1"/>
  <c r="G259" i="1"/>
  <c r="G258" i="1"/>
  <c r="G257" i="1"/>
  <c r="G256" i="1"/>
  <c r="I255" i="1"/>
  <c r="G255" i="1"/>
  <c r="L254" i="1"/>
  <c r="F254" i="1"/>
  <c r="D254" i="1"/>
  <c r="G253" i="1"/>
  <c r="G252" i="1"/>
  <c r="G251" i="1"/>
  <c r="G250" i="1"/>
  <c r="G249" i="1"/>
  <c r="G248" i="1"/>
  <c r="G247" i="1"/>
  <c r="G246" i="1"/>
  <c r="G245" i="1"/>
  <c r="G244" i="1"/>
  <c r="G243" i="1"/>
  <c r="G242" i="1"/>
  <c r="G241" i="1"/>
  <c r="G240" i="1"/>
  <c r="G239" i="1"/>
  <c r="E238" i="1"/>
  <c r="G237" i="1"/>
  <c r="E237" i="1"/>
  <c r="G236" i="1"/>
  <c r="E236" i="1"/>
  <c r="G235" i="1"/>
  <c r="G234" i="1"/>
  <c r="G233" i="1"/>
  <c r="G232" i="1"/>
  <c r="G231" i="1"/>
  <c r="G230" i="1"/>
  <c r="G229" i="1"/>
  <c r="I228" i="1"/>
  <c r="G228" i="1"/>
  <c r="H227" i="1"/>
  <c r="G227" i="1"/>
  <c r="H226" i="1"/>
  <c r="G226" i="1"/>
  <c r="E226" i="1"/>
  <c r="M225" i="1"/>
  <c r="L225" i="1"/>
  <c r="G225" i="1"/>
  <c r="E225" i="1"/>
  <c r="E223" i="1"/>
  <c r="G222" i="1"/>
  <c r="E222" i="1"/>
  <c r="D222" i="1"/>
  <c r="H221" i="1"/>
  <c r="E221" i="1"/>
  <c r="H220" i="1"/>
  <c r="G220" i="1"/>
  <c r="E220" i="1"/>
  <c r="D220" i="1"/>
  <c r="H219" i="1"/>
  <c r="E219" i="1"/>
  <c r="D219" i="1"/>
  <c r="K215" i="1"/>
  <c r="E215" i="1"/>
  <c r="K214" i="1"/>
  <c r="E214" i="1"/>
  <c r="E213" i="1"/>
  <c r="G210" i="1"/>
  <c r="E210" i="1"/>
  <c r="D210" i="1"/>
  <c r="E209" i="1"/>
  <c r="D209" i="1"/>
  <c r="E206" i="1"/>
  <c r="E205" i="1"/>
  <c r="E204" i="1"/>
  <c r="E203" i="1"/>
  <c r="E202" i="1"/>
  <c r="D202" i="1"/>
  <c r="E201" i="1"/>
  <c r="E200" i="1"/>
  <c r="D200" i="1"/>
  <c r="G199" i="1"/>
  <c r="E199" i="1"/>
  <c r="D199" i="1"/>
  <c r="I198" i="1"/>
  <c r="G198" i="1"/>
  <c r="E198" i="1"/>
  <c r="D198" i="1"/>
  <c r="H197" i="1"/>
  <c r="E197" i="1"/>
  <c r="D197" i="1"/>
  <c r="E196" i="1"/>
  <c r="D196" i="1"/>
  <c r="E195" i="1"/>
  <c r="D195" i="1"/>
  <c r="M194" i="1"/>
  <c r="L194" i="1"/>
  <c r="K194" i="1"/>
  <c r="I194" i="1"/>
  <c r="H194" i="1"/>
  <c r="G194" i="1"/>
  <c r="E194" i="1"/>
  <c r="D194" i="1"/>
  <c r="H193" i="1"/>
  <c r="G193" i="1"/>
  <c r="E193" i="1"/>
  <c r="D193" i="1"/>
  <c r="I192" i="1"/>
  <c r="G192" i="1"/>
  <c r="E192" i="1"/>
  <c r="D192" i="1"/>
  <c r="I191" i="1"/>
  <c r="I190" i="1"/>
  <c r="H190" i="1"/>
  <c r="G190" i="1"/>
  <c r="E190" i="1"/>
  <c r="D190" i="1"/>
  <c r="K188" i="1"/>
  <c r="I188" i="1"/>
  <c r="H188" i="1"/>
  <c r="G188" i="1"/>
  <c r="D188" i="1"/>
  <c r="H187" i="1"/>
  <c r="H186" i="1"/>
  <c r="G186" i="1"/>
  <c r="E186" i="1"/>
  <c r="D186" i="1"/>
  <c r="H185" i="1"/>
  <c r="E185" i="1"/>
  <c r="G184" i="1"/>
  <c r="E184" i="1"/>
  <c r="D184" i="1"/>
  <c r="K183" i="1"/>
  <c r="E183" i="1"/>
  <c r="D183" i="1"/>
  <c r="E182" i="1"/>
  <c r="E181" i="1"/>
  <c r="E180" i="1"/>
  <c r="H179" i="1"/>
  <c r="M178" i="1"/>
  <c r="K178" i="1"/>
  <c r="H178" i="1"/>
  <c r="E178" i="1"/>
  <c r="D178" i="1"/>
  <c r="M177" i="1"/>
  <c r="L177" i="1"/>
  <c r="K177" i="1"/>
  <c r="H177" i="1"/>
  <c r="E177" i="1"/>
  <c r="D177" i="1"/>
  <c r="M176" i="1"/>
  <c r="L176" i="1"/>
  <c r="E176" i="1"/>
  <c r="D176" i="1"/>
  <c r="L175" i="1"/>
  <c r="H175" i="1"/>
  <c r="G175" i="1"/>
  <c r="E175" i="1"/>
  <c r="D175" i="1"/>
  <c r="H174" i="1"/>
  <c r="G174" i="1"/>
  <c r="E174" i="1"/>
  <c r="E173" i="1"/>
  <c r="E171" i="1"/>
  <c r="H170" i="1"/>
  <c r="G170" i="1"/>
  <c r="E170" i="1"/>
  <c r="D170" i="1"/>
  <c r="H169" i="1"/>
  <c r="E169" i="1"/>
  <c r="H168" i="1"/>
  <c r="E168" i="1"/>
  <c r="M167" i="1"/>
  <c r="K167" i="1"/>
  <c r="H167" i="1"/>
  <c r="G167" i="1"/>
  <c r="E167" i="1"/>
  <c r="D167" i="1"/>
  <c r="E166" i="1"/>
  <c r="D166" i="1"/>
  <c r="G165" i="1"/>
  <c r="E165" i="1"/>
  <c r="D165" i="1"/>
  <c r="F164" i="1"/>
  <c r="D164" i="1"/>
  <c r="G163" i="1"/>
  <c r="E163" i="1"/>
  <c r="D163" i="1"/>
  <c r="E162" i="1"/>
  <c r="E161" i="1"/>
  <c r="E160" i="1"/>
  <c r="H159" i="1"/>
  <c r="G159" i="1"/>
  <c r="E159" i="1"/>
  <c r="E158" i="1"/>
  <c r="D158" i="1"/>
  <c r="E157" i="1"/>
  <c r="D157" i="1"/>
  <c r="E156" i="1"/>
  <c r="E155" i="1"/>
  <c r="H153" i="1"/>
  <c r="G153" i="1"/>
  <c r="E153" i="1"/>
  <c r="D153" i="1"/>
  <c r="E152" i="1"/>
  <c r="E151" i="1"/>
  <c r="E150" i="1"/>
  <c r="E149" i="1"/>
  <c r="H148" i="1"/>
  <c r="G148" i="1"/>
  <c r="E148" i="1"/>
  <c r="D148" i="1"/>
  <c r="E147" i="1"/>
  <c r="E146" i="1"/>
  <c r="E145" i="1"/>
  <c r="D145" i="1"/>
  <c r="K144" i="1"/>
  <c r="H144" i="1"/>
  <c r="G144" i="1"/>
  <c r="E144" i="1"/>
  <c r="D144" i="1"/>
  <c r="G143" i="1"/>
  <c r="E143" i="1"/>
  <c r="D143" i="1"/>
  <c r="E142" i="1"/>
  <c r="E140" i="1"/>
  <c r="E139" i="1"/>
  <c r="E138" i="1"/>
  <c r="E137" i="1"/>
  <c r="D137" i="1"/>
  <c r="E134" i="1"/>
  <c r="E132" i="1"/>
  <c r="E129" i="1"/>
  <c r="E128" i="1"/>
  <c r="D128" i="1"/>
  <c r="H127" i="1"/>
  <c r="E127" i="1"/>
  <c r="E126" i="1"/>
  <c r="E125" i="1"/>
  <c r="E124" i="1"/>
  <c r="E123" i="1"/>
  <c r="E122" i="1"/>
  <c r="E121" i="1"/>
  <c r="E119" i="1"/>
  <c r="D119" i="1"/>
  <c r="E118" i="1"/>
  <c r="E117" i="1"/>
  <c r="E116" i="1"/>
  <c r="I113" i="1"/>
  <c r="E113" i="1"/>
  <c r="E111" i="1"/>
  <c r="E110" i="1"/>
  <c r="E109" i="1"/>
  <c r="E108" i="1"/>
  <c r="E107" i="1"/>
  <c r="E106" i="1"/>
  <c r="E105" i="1"/>
  <c r="E104" i="1"/>
  <c r="E103" i="1"/>
  <c r="E102" i="1"/>
  <c r="D101" i="1"/>
  <c r="I99" i="1"/>
  <c r="H99" i="1"/>
  <c r="G99" i="1"/>
  <c r="E99" i="1"/>
  <c r="D99" i="1"/>
  <c r="E98" i="1"/>
  <c r="E97" i="1"/>
  <c r="E93" i="1"/>
  <c r="E92" i="1"/>
  <c r="I91" i="1"/>
  <c r="E91" i="1"/>
  <c r="D91" i="1"/>
  <c r="E90" i="1"/>
  <c r="E89" i="1"/>
  <c r="H88" i="1"/>
  <c r="E88" i="1"/>
  <c r="D88" i="1"/>
  <c r="H87" i="1"/>
  <c r="E80" i="1"/>
  <c r="H78" i="1"/>
  <c r="E77" i="1"/>
  <c r="D77" i="1"/>
  <c r="E63" i="1"/>
  <c r="E62" i="1"/>
  <c r="H61" i="1"/>
  <c r="E61" i="1"/>
  <c r="E60" i="1"/>
  <c r="E58" i="1"/>
  <c r="D56" i="1"/>
  <c r="H55" i="1"/>
  <c r="E55" i="1"/>
  <c r="H54" i="1"/>
  <c r="H53" i="1"/>
  <c r="H52" i="1"/>
  <c r="H51" i="1"/>
  <c r="H50" i="1"/>
  <c r="H49" i="1"/>
  <c r="E49" i="1"/>
  <c r="E44" i="1"/>
  <c r="E43" i="1"/>
  <c r="E37" i="1"/>
  <c r="E36" i="1"/>
  <c r="E35" i="1"/>
  <c r="E34" i="1"/>
  <c r="E33" i="1"/>
  <c r="E31" i="1"/>
  <c r="E30" i="1"/>
  <c r="D30" i="1"/>
  <c r="D28" i="1"/>
  <c r="E27" i="1"/>
  <c r="E25" i="1"/>
  <c r="E24" i="1"/>
  <c r="E23" i="1"/>
  <c r="D23" i="1"/>
  <c r="D22" i="1"/>
  <c r="I21" i="1"/>
  <c r="D21" i="1"/>
  <c r="G20" i="1"/>
</calcChain>
</file>

<file path=xl/sharedStrings.xml><?xml version="1.0" encoding="utf-8"?>
<sst xmlns="http://schemas.openxmlformats.org/spreadsheetml/2006/main" count="3097" uniqueCount="1748">
  <si>
    <t>Fracción /  Sector Industrial</t>
  </si>
  <si>
    <t>Eléctrica</t>
  </si>
  <si>
    <t>Electrónica</t>
  </si>
  <si>
    <t>Calzado</t>
  </si>
  <si>
    <t>Minera y Metalúrgica</t>
  </si>
  <si>
    <t>Bienes de Capital</t>
  </si>
  <si>
    <t>Fotográfica</t>
  </si>
  <si>
    <t>Maquinaria Agrícola</t>
  </si>
  <si>
    <t>Industrias Diversas</t>
  </si>
  <si>
    <t>Química</t>
  </si>
  <si>
    <t>Manufacturas del Caucho y Plástico</t>
  </si>
  <si>
    <t>Siderúrgica</t>
  </si>
  <si>
    <t>Productos Farmoquímicos, Medicamentos y Equipo Médico</t>
  </si>
  <si>
    <t>Papel y Cartón</t>
  </si>
  <si>
    <t>Madera</t>
  </si>
  <si>
    <t>Cuero y Pieles</t>
  </si>
  <si>
    <t>Automotriz y de Autopartes</t>
  </si>
  <si>
    <t>Textil y de la Confección (a)</t>
  </si>
  <si>
    <t>Textil y de la Confección (b)</t>
  </si>
  <si>
    <t>Textil y de la Confección (c)</t>
  </si>
  <si>
    <t>Chocolates, Dulces y Similares</t>
  </si>
  <si>
    <t>Café</t>
  </si>
  <si>
    <t>Alimentaria. Azúcar</t>
  </si>
  <si>
    <t>FRACCIÓN</t>
  </si>
  <si>
    <t>DESCRIPCIÓN</t>
  </si>
  <si>
    <t>I</t>
  </si>
  <si>
    <t>IIa</t>
  </si>
  <si>
    <t>IIb</t>
  </si>
  <si>
    <t>III</t>
  </si>
  <si>
    <t>IV</t>
  </si>
  <si>
    <t>V</t>
  </si>
  <si>
    <t>VI</t>
  </si>
  <si>
    <t>VII</t>
  </si>
  <si>
    <t>VIII</t>
  </si>
  <si>
    <t>IX</t>
  </si>
  <si>
    <t>X</t>
  </si>
  <si>
    <t>XI</t>
  </si>
  <si>
    <t>XII</t>
  </si>
  <si>
    <t>XIII</t>
  </si>
  <si>
    <t>XIV</t>
  </si>
  <si>
    <t>XVa</t>
  </si>
  <si>
    <t>XVb</t>
  </si>
  <si>
    <t>XVI</t>
  </si>
  <si>
    <t>XVII</t>
  </si>
  <si>
    <t>XVIII</t>
  </si>
  <si>
    <t>XIX</t>
  </si>
  <si>
    <t>XXa</t>
  </si>
  <si>
    <t>XXb</t>
  </si>
  <si>
    <t>XXc</t>
  </si>
  <si>
    <t>XXI</t>
  </si>
  <si>
    <t>XXII</t>
  </si>
  <si>
    <t>XXIIIa</t>
  </si>
  <si>
    <t>0603.90.99</t>
  </si>
  <si>
    <t>Los demás.</t>
  </si>
  <si>
    <t>0604.90.99</t>
  </si>
  <si>
    <t>Follajes u hojas.</t>
  </si>
  <si>
    <t>0814.00.01</t>
  </si>
  <si>
    <t>Cortezas de agrios (cítricos), melones o sandías, frescas, congeladas, secas o presentadas en agua salada, sulfurosa o adicionada de otras sustancias para su conservación provisional.</t>
  </si>
  <si>
    <t>0904.21.02</t>
  </si>
  <si>
    <t>Chile "ancho" o "anaheim".</t>
  </si>
  <si>
    <t>0904.22.02</t>
  </si>
  <si>
    <t>1301.90.99</t>
  </si>
  <si>
    <t>1302.14.01</t>
  </si>
  <si>
    <t>De efedra.</t>
  </si>
  <si>
    <t>1302.19.99</t>
  </si>
  <si>
    <t>1404.90.99</t>
  </si>
  <si>
    <t>Materias vegetales de las especies utilizadas principalmente en la fabricación de escobas, cepillos o brochas (por ejemplo: sorgo, piasava, grama, ixtle (tampico)), incluso en torcidas o en haces.</t>
  </si>
  <si>
    <t>2308.00.02</t>
  </si>
  <si>
    <t>Materias vegetales y desperdicios vegetales, residuos y subproductos vegetales, incluso en "pellets", de los tipos utilizados para la alimentación de los animales, no expresados ni comprendidos en otra parte.</t>
  </si>
  <si>
    <t>2515.12.99</t>
  </si>
  <si>
    <t>2519.90.01</t>
  </si>
  <si>
    <t>Óxido de magnesio, excepto la magnesia electrofundida y la magnesia calcinada a muerte (sinterizada).</t>
  </si>
  <si>
    <t>2528.00.99</t>
  </si>
  <si>
    <t>2710.19.02</t>
  </si>
  <si>
    <t>Aceites de engrase o preparaciones lubricantes a base de aceites minerales derivados del petróleo, con aditivos (aceites lubricantes terminados).</t>
  </si>
  <si>
    <t>2803.00.02</t>
  </si>
  <si>
    <t>Negro de humo de hornos.</t>
  </si>
  <si>
    <t>2807.00.01</t>
  </si>
  <si>
    <t>Ácido sulfúrico; oleum.</t>
  </si>
  <si>
    <t>2817.00.01</t>
  </si>
  <si>
    <t>Óxido de cinc.</t>
  </si>
  <si>
    <t>2827.20.01</t>
  </si>
  <si>
    <t>Cloruro de calcio.</t>
  </si>
  <si>
    <t>2827.59.99</t>
  </si>
  <si>
    <t>2833.25.01</t>
  </si>
  <si>
    <t>De cobre, excepto lo comprendido en la fracción arancelaria 2833.25.02.</t>
  </si>
  <si>
    <t>2834.29.99</t>
  </si>
  <si>
    <t>2836.30.01</t>
  </si>
  <si>
    <t>Hidrogenocarbonato (bicarbonato) de sodio.</t>
  </si>
  <si>
    <t>2836.50.01</t>
  </si>
  <si>
    <t>Carbonato de calcio.</t>
  </si>
  <si>
    <t>2839.19.99</t>
  </si>
  <si>
    <t>2904.10.99</t>
  </si>
  <si>
    <t>2905.31.01</t>
  </si>
  <si>
    <t>Etilenglicol (etanodiol).</t>
  </si>
  <si>
    <t>2905.39.02</t>
  </si>
  <si>
    <t>2-Metil-2,4-pentanodiol.</t>
  </si>
  <si>
    <t>2905.45.99</t>
  </si>
  <si>
    <t>2909.49.99</t>
  </si>
  <si>
    <t>2915.40.01</t>
  </si>
  <si>
    <t>Ácidos mono- o dicloroacéticos y sus sales de sodio.</t>
  </si>
  <si>
    <t>2915.60.99</t>
  </si>
  <si>
    <t>Butanoato de etilo (Butirato de etilo).</t>
  </si>
  <si>
    <t>2915.90.99</t>
  </si>
  <si>
    <t>Miristato de isopropilo.</t>
  </si>
  <si>
    <t>2916.14.99</t>
  </si>
  <si>
    <t>2917.39.99</t>
  </si>
  <si>
    <t>2921.30.99</t>
  </si>
  <si>
    <t>2929.10.99</t>
  </si>
  <si>
    <t>Difenilmetan-4,4'-diisocianato.</t>
  </si>
  <si>
    <t>3202.10.01</t>
  </si>
  <si>
    <t>Productos curtientes orgánicos sintéticos.</t>
  </si>
  <si>
    <t>3202.90.99</t>
  </si>
  <si>
    <t>3204.11.01</t>
  </si>
  <si>
    <t>Colorantes dispersos con la siguiente clasificación de "Colour Index": Amarillo: 3, 23, 42, 54, 163; Azul: 3, 56, 60, 64, 79, 183, 291, 321; Café: 1; Naranja: 25:1, 29, 30, 37, 44, 89, 90; Negro: 9, 25, 33; Rojo: 1, 5, 17, 30, 54, 55, 55:1, 60, 167:1, 277, 366; Violeta: 1, 27, 93.</t>
  </si>
  <si>
    <t>3204.17.02</t>
  </si>
  <si>
    <t>Colorantes pigmentarios: Diarilidas con la siguiente clasificación de "Colour Index": Amarillo: 12, 13, 14, 17, 83; Naranja: 13.</t>
  </si>
  <si>
    <t>3204.17.03</t>
  </si>
  <si>
    <t>Colorantes pigmentarios: Ariles o toluidinas con la siguiente clasificación de "Colour Index": Amarillo: 1, 3, 65, 73, 74, 75; Naranja: 5; Rojo: 3.</t>
  </si>
  <si>
    <t>3204.17.04</t>
  </si>
  <si>
    <t>Colorantes pigmentarios: Naftoles con la siguiente clasificación de "Colour Index": rojo: 2, 8, 112, 146.</t>
  </si>
  <si>
    <t>3204.17.05</t>
  </si>
  <si>
    <t>Colorantes pigmentarios: Laqueados o metalizados con la siguiente clasificación de "Colour Index": Rojo: 48:1, 48:2, 48:3, 48:4, 49:1, 49:2, 52:1, 52:2, 53:1, 57:1, 58:4, 63:1, 63:2.</t>
  </si>
  <si>
    <t>3204.17.06</t>
  </si>
  <si>
    <t>Colorantes pigmentarios: Ftalocianinas con la siguiente clasificación de "Colour Index": Azul: 15, 15:1, 15:2, 15:3, 15:4; Verde: 7, 36.</t>
  </si>
  <si>
    <t>3204.17.07</t>
  </si>
  <si>
    <t>Colorantes pigmentarios: básicos precipitados con la siguiente clasificación de "Colour Index": Violeta: 1, 3; Rojo: 81.</t>
  </si>
  <si>
    <t>3204.17.08</t>
  </si>
  <si>
    <t>Pigmentos, excepto lo comprendido en las fracciones arancelarias 3204.17.01, 3204.17.02, 3204.17.03, 3204.17.04, 3204.17.05, 3204.17.06 y 3204.17.07.</t>
  </si>
  <si>
    <t>3204.20.99</t>
  </si>
  <si>
    <t>3206.11.01</t>
  </si>
  <si>
    <t>Con un contenido de dióxido de titanio superior o igual al 80% en peso, calculado sobre materia seca.</t>
  </si>
  <si>
    <t>3206.19.99</t>
  </si>
  <si>
    <t>3206.20.03</t>
  </si>
  <si>
    <t>Pigmentos y preparaciones a base de compuestos de cromo, excepto lo comprendido en las fracciones arancelarias 3206.20.01 y 3206.20.02.</t>
  </si>
  <si>
    <t>3208.10.02</t>
  </si>
  <si>
    <t>Pinturas o barnices.</t>
  </si>
  <si>
    <t>3208.20.03</t>
  </si>
  <si>
    <t>Pinturas o barnices, excepto los barnices a base de resinas catiónicas de dimetilaminoetilmetacrilato o a base de resinas aniónicas del ácido metacrílico reaccionadas con ésteres del ácido metacrílico.</t>
  </si>
  <si>
    <t>3214.10.01</t>
  </si>
  <si>
    <t>Masilla, cementos de resina y demás mástiques, excepto lo comprendido en la fracción arancelaria 3214.10.02; plastes (enduidos) utilizados en pintura.</t>
  </si>
  <si>
    <t>3214.90.99</t>
  </si>
  <si>
    <t>3301.90.99</t>
  </si>
  <si>
    <t>3302.10.91</t>
  </si>
  <si>
    <t>Las demás preparaciones de los tipos utilizados en la elaboración de bebidas que contengan alcohol, a base de sustancias odoríferas.</t>
  </si>
  <si>
    <t>3302.10.99</t>
  </si>
  <si>
    <t>Ex.</t>
  </si>
  <si>
    <t>3303.00.01</t>
  </si>
  <si>
    <t>Aguas de tocador.</t>
  </si>
  <si>
    <t>3303.00.99</t>
  </si>
  <si>
    <t>3304.10.01</t>
  </si>
  <si>
    <t>Preparaciones para el maquillaje de los labios.</t>
  </si>
  <si>
    <t>3304.20.01</t>
  </si>
  <si>
    <t>Preparaciones para el maquillaje de los ojos.</t>
  </si>
  <si>
    <t>3304.91.01</t>
  </si>
  <si>
    <t>Polvos, incluidos los compactos.</t>
  </si>
  <si>
    <t>3304.99.99</t>
  </si>
  <si>
    <t>Las demás.</t>
  </si>
  <si>
    <t>3306.20.02</t>
  </si>
  <si>
    <t>De filamento de nailon.</t>
  </si>
  <si>
    <t>3307.10.01</t>
  </si>
  <si>
    <t>Preparaciones para afeitar o para antes o después del afeitado.</t>
  </si>
  <si>
    <t>3401.19.99</t>
  </si>
  <si>
    <t>3401.20.01</t>
  </si>
  <si>
    <t>Jabón en otras formas.</t>
  </si>
  <si>
    <t>3402.42.99</t>
  </si>
  <si>
    <t>3402.50.04</t>
  </si>
  <si>
    <t>Mezclas (limpiadoras, humectantes o emulsificantes) o preparaciones de productos orgánicos sulfonados, adicionadas de carbonatos, hidróxido o fosfatos de potasio o de sodio.</t>
  </si>
  <si>
    <t>3402.50.99</t>
  </si>
  <si>
    <t>3402.90.99</t>
  </si>
  <si>
    <t>3403.11.01</t>
  </si>
  <si>
    <t>Preparaciones para el tratamiento de materias textiles, cueros y pieles, peletería u otras materias.</t>
  </si>
  <si>
    <t>3403.91.01</t>
  </si>
  <si>
    <t>3403.99.99</t>
  </si>
  <si>
    <t>3404.90.99</t>
  </si>
  <si>
    <t>3405.30.01</t>
  </si>
  <si>
    <t>Abrillantadores (lustres) y preparaciones similares para carrocerías, excepto las preparaciones para lustrar metal.</t>
  </si>
  <si>
    <t>3405.40.01</t>
  </si>
  <si>
    <t>Pastas, polvos y demás preparaciones para fregar.</t>
  </si>
  <si>
    <t>3405.90.01</t>
  </si>
  <si>
    <t>Lustres para metal.</t>
  </si>
  <si>
    <t>3405.90.99</t>
  </si>
  <si>
    <t>3506.10.99</t>
  </si>
  <si>
    <t>Adhesivos a base de resinas plásticas.</t>
  </si>
  <si>
    <t>3506.91.01</t>
  </si>
  <si>
    <t>Adhesivos anaeróbicos.</t>
  </si>
  <si>
    <t>3506.91.99</t>
  </si>
  <si>
    <t>Adhesivos a base de cianoacrilatos.</t>
  </si>
  <si>
    <t>3506.99.99</t>
  </si>
  <si>
    <t>3802.10.01</t>
  </si>
  <si>
    <t>Carbón activado.</t>
  </si>
  <si>
    <t>3809.91.01</t>
  </si>
  <si>
    <t>Preparaciones suavizantes de telas a base de aminas cuaternarias, acondicionadas para la venta al por menor.</t>
  </si>
  <si>
    <t>3809.91.99</t>
  </si>
  <si>
    <t>3809.93.01</t>
  </si>
  <si>
    <t>De los tipos utilizados en la industria del cuero o industrias similares.</t>
  </si>
  <si>
    <t>3810.10.01</t>
  </si>
  <si>
    <t>Preparaciones para el decapado de metal; pastas y polvos para soldar, constituidos por metal y otros productos.</t>
  </si>
  <si>
    <t>3812.39.99</t>
  </si>
  <si>
    <t>Estabilizantes para compuestos plásticos vinílicos, a base de estaño, plomo, calcio, bario, cinc y/o cadmio.</t>
  </si>
  <si>
    <t>3814.00.01</t>
  </si>
  <si>
    <t>Disolventes y diluyentes orgánicos compuestos, no expresados ni comprendidos en otra parte; preparaciones para quitar pinturas o barnices.</t>
  </si>
  <si>
    <t>3819.00.04</t>
  </si>
  <si>
    <t>Líquidos para frenos hidráulicos, presentados para la venta al por menor.</t>
  </si>
  <si>
    <t>3819.00.99</t>
  </si>
  <si>
    <t>3820.00.01</t>
  </si>
  <si>
    <t>Preparaciones anticongelantes y líquidos preparados para descongelar.</t>
  </si>
  <si>
    <t>3824.84.01</t>
  </si>
  <si>
    <t>Que contengan aldrina (ISO), canfecloro (ISO) (toxafeno), clordano (ISO), clordecona (ISO), DDT (ISO) (clofenotano (DCI), 1,1,1-tricloro-2,2-bis (p-clorofenil)etano), dieldrina (ISO, DCI), endosulfán (ISO), endrina (ISO), heptacloro (ISO) o mirex (ISO).</t>
  </si>
  <si>
    <t>3824.85.01</t>
  </si>
  <si>
    <t>Que contengan 1,2,3,4,5,6-hexaclorociclohexano (HCH (ISO)), incluido el lindano (ISO, DCI).</t>
  </si>
  <si>
    <t>3824.86.01</t>
  </si>
  <si>
    <t>Que contengan pentaclorobenceno (ISO) o hexaclorobenceno (ISO).</t>
  </si>
  <si>
    <t>3824.87.01</t>
  </si>
  <si>
    <t>Que contengan ácido perfluorooctano sulfónico o sus sales, perfluorooctano sulfonamidas o fluoruro de perfluorooctano sulfonilo.</t>
  </si>
  <si>
    <t>3824.88.01</t>
  </si>
  <si>
    <t>Que contengan éteres tetra-, penta-, hexa-, hepta- u octabromodifenílicos.</t>
  </si>
  <si>
    <t>3824.91.01</t>
  </si>
  <si>
    <t>Mezclas y preparaciones constituidas esencialmente de metilfosfonato de (5-etil-2-metil-2-óxido-1,3,2-dioxafosfinan-5-il)metil metilo y metilfosfonato de bis[(5-etil-2-metil-2-óxido-1,3,2-dioxafosfinan-5-il)metilo].</t>
  </si>
  <si>
    <t>3824.92.01</t>
  </si>
  <si>
    <t>Ésteres de poliglicol del ácido metilfosfónico.</t>
  </si>
  <si>
    <t>3824.99.01</t>
  </si>
  <si>
    <t>Preparaciones borra tinta.</t>
  </si>
  <si>
    <t>3824.99.99</t>
  </si>
  <si>
    <t>Cloroparafinas.</t>
  </si>
  <si>
    <t>3826.00.01</t>
  </si>
  <si>
    <t>Biodiésel y sus mezclas, sin aceites de petróleo o de mineral bituminoso o con un contenido inferior al 70% en peso de estos aceites.</t>
  </si>
  <si>
    <t>3901.30.01</t>
  </si>
  <si>
    <t>Copolímeros de etileno y acetato de vinilo.</t>
  </si>
  <si>
    <t>3901.40.01</t>
  </si>
  <si>
    <t>Copolímeros de etileno y alfa-olefina de densidad inferior a 0.94.</t>
  </si>
  <si>
    <t>3901.90.99</t>
  </si>
  <si>
    <t>Polietileno, clorado o clorosulfonado sin cargas ni modificantes, ni pigmentos.</t>
  </si>
  <si>
    <t>3902.10.01</t>
  </si>
  <si>
    <t>Sin adición de negro de humo.</t>
  </si>
  <si>
    <t>3902.10.99</t>
  </si>
  <si>
    <t>3902.30.01</t>
  </si>
  <si>
    <t>Copolímeros de propileno, sin adición de negro de humo.</t>
  </si>
  <si>
    <t>3902.90.99</t>
  </si>
  <si>
    <t>3903.11.01</t>
  </si>
  <si>
    <t>Expandible.</t>
  </si>
  <si>
    <t>3903.19.99</t>
  </si>
  <si>
    <t>Poliestireno cristal.</t>
  </si>
  <si>
    <t>3903.20.01</t>
  </si>
  <si>
    <t>Copolímeros de estireno-acrilonitrilo (SAN).</t>
  </si>
  <si>
    <t>3903.30.01</t>
  </si>
  <si>
    <t>Copolímeros de acrilonitrilo-butadieno-estireno (ABS).</t>
  </si>
  <si>
    <t>3903.90.01</t>
  </si>
  <si>
    <t>Copolímeros de estireno-vinilo.</t>
  </si>
  <si>
    <t>3903.90.02</t>
  </si>
  <si>
    <t>Copolímeros de estireno-maléico.</t>
  </si>
  <si>
    <t>3903.90.05</t>
  </si>
  <si>
    <t>Copolímeros del estireno, excepto los elastoméricos termoplásticos y lo comprendido en las fracciones arancelarias 3903.90.01 a la 3903.90.03.</t>
  </si>
  <si>
    <t>3903.90.99</t>
  </si>
  <si>
    <t>Copolímeros elastoméricos termoplásticos.</t>
  </si>
  <si>
    <t>3904.10.02</t>
  </si>
  <si>
    <t>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t>
  </si>
  <si>
    <t>3904.10.99</t>
  </si>
  <si>
    <t>3904.21.01</t>
  </si>
  <si>
    <t>Dispersiones acuosas de poli(cloruro de vinilo) (P.V.C.), de viscosidades menores de 200 centipoises.</t>
  </si>
  <si>
    <t>3904.22.01</t>
  </si>
  <si>
    <t>Plastificados.</t>
  </si>
  <si>
    <t>3905.12.01</t>
  </si>
  <si>
    <t>En dispersión acuosa.</t>
  </si>
  <si>
    <t>3905.19.99</t>
  </si>
  <si>
    <t>3905.99.99</t>
  </si>
  <si>
    <t>Polivinilpirrolidona.</t>
  </si>
  <si>
    <t>3906.90.02</t>
  </si>
  <si>
    <t>Resinas acrílicas hidroxiladas, sus copolímeros y terpolímeros.</t>
  </si>
  <si>
    <t>3906.90.03</t>
  </si>
  <si>
    <t>Poliacrilatos, excepto lo comprendido en las fracciones arancelarias 3906.90.01, 3906.90.05, 3906.90.06, 3906.90.08, 3906.90.09.</t>
  </si>
  <si>
    <t>3906.90.09</t>
  </si>
  <si>
    <t>Copolímero de metacrilato de metilo-acrilato de etilo, en polvo.</t>
  </si>
  <si>
    <t>3906.90.99</t>
  </si>
  <si>
    <t>3907.21.01</t>
  </si>
  <si>
    <t>Metilfosfonato de bis(polioxietileno).</t>
  </si>
  <si>
    <t>3907.29.06</t>
  </si>
  <si>
    <t>Poli(propilenglicol).</t>
  </si>
  <si>
    <t>3907.29.07</t>
  </si>
  <si>
    <t>Poli(oxipropilenetilenglicol)-alcohol, de peso molecular hasta 8,000.</t>
  </si>
  <si>
    <t>3907.29.99</t>
  </si>
  <si>
    <t>3907.30.02</t>
  </si>
  <si>
    <t>Resinas epóxidas tipo etoxilinas cicloalifaticas o novolacas.</t>
  </si>
  <si>
    <t>3907.30.99</t>
  </si>
  <si>
    <t>Resinas epóxidas.</t>
  </si>
  <si>
    <t>3907.50.99</t>
  </si>
  <si>
    <t>Resinas alcídicas (alquídicas), sin pigmentar, en forma líquida o pastosa, incluidas las emulsiones, dispersiones y soluciones.</t>
  </si>
  <si>
    <t>3907.61.01</t>
  </si>
  <si>
    <t>Con un índice de viscosidad superior o igual a 78 ml/g.</t>
  </si>
  <si>
    <t>3907.69.99</t>
  </si>
  <si>
    <t>3907.91.99</t>
  </si>
  <si>
    <t>3907.99.02</t>
  </si>
  <si>
    <t>Resina poliéster derivada del ácido adípico y glicoles.</t>
  </si>
  <si>
    <t>3907.99.05</t>
  </si>
  <si>
    <t>Polibutilen tereftalato, excepto lo comprendido en las fracciones arancelarias 3907.99.03 y 3907.99.04.</t>
  </si>
  <si>
    <t>3907.99.99</t>
  </si>
  <si>
    <t>3908.10.01</t>
  </si>
  <si>
    <t>Polímeros de la hexametilendiamina y ácido dodecandioico.</t>
  </si>
  <si>
    <t>3908.10.05</t>
  </si>
  <si>
    <t>Poliamidas o superpoliamidas, excepto lo comprendido en las fracciones arancelarias 3908.10.01 a la 3908.10.04, 3908.10.06, 3908.10.07 y 3908.10.08.</t>
  </si>
  <si>
    <t>3908.10.06</t>
  </si>
  <si>
    <t>Poliamida 12.</t>
  </si>
  <si>
    <t>3908.90.99</t>
  </si>
  <si>
    <t>3909.40.99</t>
  </si>
  <si>
    <t>Resinas provenientes de la condensación del fenol y sus derivados, con el formaldehído, y/o paraformaldehído, con o sin adición de modificantes.</t>
  </si>
  <si>
    <t>3909.50.99</t>
  </si>
  <si>
    <t>Poliuretanos, sin pigmentos, cargas o modificantes en forma líquida o pastosa, incluidas las emulsiones, dispersiones y soluciones.</t>
  </si>
  <si>
    <t>3910.00.01</t>
  </si>
  <si>
    <t>Resinas de silicona ("potting compound") para empleo electrónico.</t>
  </si>
  <si>
    <t>3910.00.99</t>
  </si>
  <si>
    <t>3911.20.01</t>
  </si>
  <si>
    <t>Poli(1,3-fenilen metilfosfonato).</t>
  </si>
  <si>
    <t>3911.90.99</t>
  </si>
  <si>
    <t>3913.90.02</t>
  </si>
  <si>
    <t>Esponjas celulósicas.</t>
  </si>
  <si>
    <t>3914.00.01</t>
  </si>
  <si>
    <t>Intercambiadores de iones, del tipo catiónico.</t>
  </si>
  <si>
    <t>3915.20.01</t>
  </si>
  <si>
    <t>De polímeros de estireno.</t>
  </si>
  <si>
    <t>3915.90.99</t>
  </si>
  <si>
    <t>Desechos, desperdicios y recortes de poli (tereftalato de etileno) (PET).</t>
  </si>
  <si>
    <t>3917.33.01</t>
  </si>
  <si>
    <t>Tubería de materias plásticas artificiales, hasta de 20 mm de diámetro exterior, con goteras integradas, para riego agrícola.</t>
  </si>
  <si>
    <t>3917.33.99</t>
  </si>
  <si>
    <t>3918.10.02</t>
  </si>
  <si>
    <t>Baldosas (losetas) vinílicas, para recubrimientos en pisos.</t>
  </si>
  <si>
    <t>3918.90.91</t>
  </si>
  <si>
    <t>De los demás plásticos.</t>
  </si>
  <si>
    <t>3921.11.01</t>
  </si>
  <si>
    <t>3922.10.01</t>
  </si>
  <si>
    <t>Bañeras, duchas, fregaderos y lavabos.</t>
  </si>
  <si>
    <t>3922.20.01</t>
  </si>
  <si>
    <t>Asientos y tapas de inodoros.</t>
  </si>
  <si>
    <t>3922.90.99</t>
  </si>
  <si>
    <t>3923.10.03</t>
  </si>
  <si>
    <t>Cajas, cajones, jaulas y artículos similares, excepto lo comprendido en el número de identificación comercial 3923.10.03.02.</t>
  </si>
  <si>
    <t>3923.30.02</t>
  </si>
  <si>
    <t>Tanques o recipientes con capacidad igual o superior a 3.5 l.</t>
  </si>
  <si>
    <t>3923.40.99</t>
  </si>
  <si>
    <t>3923.50.01</t>
  </si>
  <si>
    <t>Tapones, tapas, cápsulas y demás dispositivos de cierre.</t>
  </si>
  <si>
    <t>3923.90.99</t>
  </si>
  <si>
    <t>3924.10.01</t>
  </si>
  <si>
    <t>Vajilla y demás artículos para el servicio de mesa o de cocina.</t>
  </si>
  <si>
    <t>3924.90.99</t>
  </si>
  <si>
    <t>3925.10.01</t>
  </si>
  <si>
    <t>Depósitos, cisternas, cubas y recipientes análogos, de capacidad superior a 300 l.</t>
  </si>
  <si>
    <t>3925.30.01</t>
  </si>
  <si>
    <t>Contraventanas, persianas (incluidas las venecianas) y artículos similares, y sus partes.</t>
  </si>
  <si>
    <t>3925.90.99</t>
  </si>
  <si>
    <t>3926.10.01</t>
  </si>
  <si>
    <t>Artículos de oficina y artículos escolares.</t>
  </si>
  <si>
    <t>3926.20.99</t>
  </si>
  <si>
    <t>3926.30.02</t>
  </si>
  <si>
    <t>Molduras para carrocerías.</t>
  </si>
  <si>
    <t>3926.40.01</t>
  </si>
  <si>
    <t>Estatuillas y demás artículos de adorno.</t>
  </si>
  <si>
    <t>3926.90.01</t>
  </si>
  <si>
    <t>Mangos para herramientas de mano.</t>
  </si>
  <si>
    <t>3926.90.04</t>
  </si>
  <si>
    <t>Salvavidas.</t>
  </si>
  <si>
    <t>3926.90.07</t>
  </si>
  <si>
    <t>Modelos o patrones.</t>
  </si>
  <si>
    <t>3926.90.08</t>
  </si>
  <si>
    <t>Hormas para calzado.</t>
  </si>
  <si>
    <t>3926.90.11</t>
  </si>
  <si>
    <t>Protectores para el sentido auditivo.</t>
  </si>
  <si>
    <t>3926.90.13</t>
  </si>
  <si>
    <t>Letras, números o signos.</t>
  </si>
  <si>
    <t>3926.90.14</t>
  </si>
  <si>
    <t>Cinchos fijadores o abrazaderas, excepto lo reconocible como diseñados exclusivamente para uso automotriz.</t>
  </si>
  <si>
    <t>3926.90.18</t>
  </si>
  <si>
    <t>Marcas para asfalto, postes reflejantes y/o dispositivos de advertencia (triángulos de seguridad), de resina plástica, para la señalización vial.</t>
  </si>
  <si>
    <t>3926.90.19</t>
  </si>
  <si>
    <t>Abanicos o sus partes.</t>
  </si>
  <si>
    <t>3926.90.20</t>
  </si>
  <si>
    <t>Emblemas, para vehículos automóviles.</t>
  </si>
  <si>
    <t>3926.90.24</t>
  </si>
  <si>
    <t>Diablos o tacos (pigs) de poliuretanos con diámetro hasta de 122 cm, para la limpieza interior de tuberías, aun cuando estén recubiertos con banda de caucho, con incrustaciones de carburo de tungsteno o cerdas de acero.</t>
  </si>
  <si>
    <t>3926.90.27</t>
  </si>
  <si>
    <t>Láminas perforadas o troqueladas de poli(etileno) y/o poli(propileno), aun cuando estén coloreadas, metalizadas o laqueadas.</t>
  </si>
  <si>
    <t>3926.90.29</t>
  </si>
  <si>
    <t>Embudos.</t>
  </si>
  <si>
    <t>4002.11.02</t>
  </si>
  <si>
    <t>Látex frío de poli(butadieno-estireno), con un contenido de sólidos superior o igual al 38% pero inferior o igual al 41% o superior o igual al 67% pero inferior al 69%, de estireno combinado superior o igual al 21.5% pero inferior o igual al 25.5%, de estireno residual inferior o igual 0.1%.</t>
  </si>
  <si>
    <t>4002.11.99</t>
  </si>
  <si>
    <t>De poli(butadieno-estireno) incluso modificados con ácidos carboxílicos, así como los prevulcanizados.</t>
  </si>
  <si>
    <t>4002.19.02</t>
  </si>
  <si>
    <t>Poli(butadieno-estireno), excepto lo comprendido en la fracción arancelaria 4002.19.01.</t>
  </si>
  <si>
    <t>4002.19.99</t>
  </si>
  <si>
    <t>4002.39.99</t>
  </si>
  <si>
    <t>4002.59.01</t>
  </si>
  <si>
    <t>Poli(butadieno-acrilonitrilo) con un contenido de acrilonitrilo superior o igual al 45%.</t>
  </si>
  <si>
    <t>4002.59.02</t>
  </si>
  <si>
    <t>Poli(butadieno-acrilonitrilo), excepto lo comprendido en la fracción arancelaria 4002.59.01.</t>
  </si>
  <si>
    <t>4002.99.99</t>
  </si>
  <si>
    <t>4006.90.02</t>
  </si>
  <si>
    <t>Parches.</t>
  </si>
  <si>
    <t>4006.90.99</t>
  </si>
  <si>
    <t>4011.10.10</t>
  </si>
  <si>
    <t>Con diámetro interior igual a 33.02 cm (13 pulgadas) y cuya altura de la sección transversal sea del 70% u 80% de su anchura.</t>
  </si>
  <si>
    <t>4011.20.06</t>
  </si>
  <si>
    <t>Con diámetro interior inferior o igual a 44.45 cm, de construcción radial.</t>
  </si>
  <si>
    <t>4011.70.99</t>
  </si>
  <si>
    <t>4011.80.93</t>
  </si>
  <si>
    <t>Los demás para rines de diámetro inferior o igual a 61 cm.</t>
  </si>
  <si>
    <t>4011.90.99</t>
  </si>
  <si>
    <t>4012.90.99</t>
  </si>
  <si>
    <t>4013.10.01</t>
  </si>
  <si>
    <t>De los tipos utilizados en automóviles de turismo (incluidos los del tipo familiar ("break" o "station wagon") y los de carreras), en autobuses o camiones.</t>
  </si>
  <si>
    <t>4013.90.99</t>
  </si>
  <si>
    <t>4015.12.99</t>
  </si>
  <si>
    <t>4015.19.99</t>
  </si>
  <si>
    <t>4015.90.99</t>
  </si>
  <si>
    <t>4016.91.01</t>
  </si>
  <si>
    <t>Revestimientos para el suelo y alfombras.</t>
  </si>
  <si>
    <t>4016.92.99</t>
  </si>
  <si>
    <t>4016.95.99</t>
  </si>
  <si>
    <t>4016.99.01</t>
  </si>
  <si>
    <t>Arandelas, válvulas u otras piezas de uso técnico, excepto artículos reconocibles como diseñados exclusivamente para ser utilizados en el moldeo de neumáticos nuevos ("Bladers").</t>
  </si>
  <si>
    <t>4016.99.04</t>
  </si>
  <si>
    <t>Dedales.</t>
  </si>
  <si>
    <t>4203.29.99</t>
  </si>
  <si>
    <t>4205.00.99</t>
  </si>
  <si>
    <t>Partes cortadas en forma, reconocibles como concebidas exclusivamente para cinturones portaherramientas.</t>
  </si>
  <si>
    <t>4407.11.99</t>
  </si>
  <si>
    <t>En tablas, tablones o vigas.</t>
  </si>
  <si>
    <t>4407.12.99</t>
  </si>
  <si>
    <t>4407.13.01</t>
  </si>
  <si>
    <t>4407.14.01</t>
  </si>
  <si>
    <t>4407.19.99</t>
  </si>
  <si>
    <t>4409.10.99</t>
  </si>
  <si>
    <t>Listones y molduras de madera para muebles, marcos, decorados interiores, conducciones eléctricas y análogos.</t>
  </si>
  <si>
    <t>4409.21.03</t>
  </si>
  <si>
    <t>De bambú.</t>
  </si>
  <si>
    <t>4409.22.01</t>
  </si>
  <si>
    <t>De maderas tropicales.</t>
  </si>
  <si>
    <t>4409.29.99</t>
  </si>
  <si>
    <t>Listones y molduras para muebles, marcos, decorados interiores, conducciones eléctricas y análogos.</t>
  </si>
  <si>
    <t>4410.11.04</t>
  </si>
  <si>
    <t>En bruto o simplemente lijados.</t>
  </si>
  <si>
    <t>4412.31.01</t>
  </si>
  <si>
    <t>Que tengan, por lo menos, una hoja externa de las maderas tropicales siguientes: Dark Red Meranti, Light Red Meranti, White Lauan, Sipo, Limba, Okumé, Obeché, Acajou d'Afrique, Sapelli, Mahogany, Palisandre de Para, Palisandre de Río y Palisandre de Rose.</t>
  </si>
  <si>
    <t>4412.31.99</t>
  </si>
  <si>
    <t>4412.33.91</t>
  </si>
  <si>
    <t>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</si>
  <si>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4412.34.91</t>
  </si>
  <si>
    <t>Las demás, que tengan, por lo menos, una hoja externa de madera distinta de la de coníferas, no especificadas en la subpartida 4412.33.</t>
  </si>
  <si>
    <t>4412.39.91</t>
  </si>
  <si>
    <t>Denominada "plywood".</t>
  </si>
  <si>
    <t>4412.41.01</t>
  </si>
  <si>
    <t>Que tengan, por lo menos, un tablero de partículas.</t>
  </si>
  <si>
    <t>4412.42.91</t>
  </si>
  <si>
    <t>4412.49.91</t>
  </si>
  <si>
    <t>4412.51.01</t>
  </si>
  <si>
    <t>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t>
  </si>
  <si>
    <t>4412.52.91</t>
  </si>
  <si>
    <t>Los demás, que tengan, por lo menos, una hoja externa de madera distinta de la de coníferas.</t>
  </si>
  <si>
    <t>4412.59.91</t>
  </si>
  <si>
    <t>Los demás, con las dos hojas externas de madera de coníferas.</t>
  </si>
  <si>
    <t>4412.91.01</t>
  </si>
  <si>
    <t>4412.92.91</t>
  </si>
  <si>
    <t>4412.99.91</t>
  </si>
  <si>
    <t>4413.00.99</t>
  </si>
  <si>
    <t>4415.20.02</t>
  </si>
  <si>
    <t>Collarines para paletas.</t>
  </si>
  <si>
    <t>4417.00.99</t>
  </si>
  <si>
    <t>4420.11.99</t>
  </si>
  <si>
    <t>4420.19.99</t>
  </si>
  <si>
    <t>4420.90.99</t>
  </si>
  <si>
    <t>4421.91.02</t>
  </si>
  <si>
    <t>Tapones.</t>
  </si>
  <si>
    <t>4421.91.99</t>
  </si>
  <si>
    <t>Adoquines.</t>
  </si>
  <si>
    <t>4421.99.02</t>
  </si>
  <si>
    <t>4421.99.99</t>
  </si>
  <si>
    <t>4601.93.02</t>
  </si>
  <si>
    <t>De ratán (roten).</t>
  </si>
  <si>
    <t>4601.94.99</t>
  </si>
  <si>
    <t>4602.11.01</t>
  </si>
  <si>
    <t>4602.19.99</t>
  </si>
  <si>
    <t>4823.90.99</t>
  </si>
  <si>
    <t>Parafinado o encerado.</t>
  </si>
  <si>
    <t>4901.99.99</t>
  </si>
  <si>
    <t>4908.90.02</t>
  </si>
  <si>
    <t>Para estampar tejidos.</t>
  </si>
  <si>
    <t>4908.90.99</t>
  </si>
  <si>
    <t>Calcomanías transferibles sin calor, susceptibles de ser usadas en cualquier superficie, excepto lo comprendido en el número de identificación comercial 4908.90.99.02.</t>
  </si>
  <si>
    <t>5007.20.91</t>
  </si>
  <si>
    <t>Los demás tejidos con un contenido de seda o de desperdicios de seda, distintos de la borrilla, superior o igual al 85% en peso.</t>
  </si>
  <si>
    <t>5007.90.91</t>
  </si>
  <si>
    <t>Los demás tejidos.</t>
  </si>
  <si>
    <t>5208.22.01</t>
  </si>
  <si>
    <t>De ligamento tafetán, de peso superior a 100 g/m².</t>
  </si>
  <si>
    <t>5208.29.91</t>
  </si>
  <si>
    <t>5208.31.01</t>
  </si>
  <si>
    <t>De ligamento tafetán, de peso inferior o igual a 100 g/m².</t>
  </si>
  <si>
    <t>5208.32.01</t>
  </si>
  <si>
    <t>5208.39.91</t>
  </si>
  <si>
    <t>De ligamento sarga.</t>
  </si>
  <si>
    <t>5208.41.01</t>
  </si>
  <si>
    <t>5208.42.01</t>
  </si>
  <si>
    <t>5208.49.91</t>
  </si>
  <si>
    <t>5208.51.01</t>
  </si>
  <si>
    <t>5208.52.01</t>
  </si>
  <si>
    <t>5208.59.91</t>
  </si>
  <si>
    <t>5210.21.01</t>
  </si>
  <si>
    <t>De ligamento tafetán.</t>
  </si>
  <si>
    <t>5210.31.01</t>
  </si>
  <si>
    <t>5309.19.99</t>
  </si>
  <si>
    <t>5309.29.99</t>
  </si>
  <si>
    <t>5407.42.05</t>
  </si>
  <si>
    <t>De peso inferior o igual a 50 g/m2.</t>
  </si>
  <si>
    <t>5513.11.04</t>
  </si>
  <si>
    <t>De peso inferior o igual a 90 g/m2.</t>
  </si>
  <si>
    <t>5513.21.04</t>
  </si>
  <si>
    <t>5602.10.02</t>
  </si>
  <si>
    <t>Fieltro punzonado y productos obtenidos mediante costura por cadeneta.</t>
  </si>
  <si>
    <t>5602.21.03</t>
  </si>
  <si>
    <t>De lana.</t>
  </si>
  <si>
    <t>5602.90.99</t>
  </si>
  <si>
    <t>5603.13.02</t>
  </si>
  <si>
    <t>De fibras aramídicas, o de propiedades dieléctricas a base de rayón y alcohol polivinílico con peso superior a 70 g/m² pero inferior a 85 g/m².</t>
  </si>
  <si>
    <t>5608.90.99</t>
  </si>
  <si>
    <t>5705.00.91</t>
  </si>
  <si>
    <t>Alfombra en rollos, de fibras de poliamidas y con un soporte antiderrapante, de anchura igual o superior a 1.1 m pero inferior o igual a 2.2 m.</t>
  </si>
  <si>
    <t>5806.31.01</t>
  </si>
  <si>
    <t>De algodón.</t>
  </si>
  <si>
    <t>5806.32.01</t>
  </si>
  <si>
    <t>De fibras sintéticas o artificiales.</t>
  </si>
  <si>
    <t>5806.39.99</t>
  </si>
  <si>
    <t>5903.20.02</t>
  </si>
  <si>
    <t>5903.90.99</t>
  </si>
  <si>
    <t>Cintas o tiras adhesivas.</t>
  </si>
  <si>
    <t>5906.10.01</t>
  </si>
  <si>
    <t>Cintas adhesivas de anchura inferior o igual a 20 cm.</t>
  </si>
  <si>
    <t>5906.91.02</t>
  </si>
  <si>
    <t>De punto.</t>
  </si>
  <si>
    <t>5909.00.01</t>
  </si>
  <si>
    <t>Mangueras para bombas y tubos similares, de materia textil, incluso con armadura o accesorios de otras materias.</t>
  </si>
  <si>
    <t>5910.00.01</t>
  </si>
  <si>
    <t>Correas transportadoras o de transmisión, de materia textil, incluso impregnadas, recubiertas, revestidas o estratificadas con plástico o reforzadas con metal u otra materia.</t>
  </si>
  <si>
    <t>5911.90.99</t>
  </si>
  <si>
    <t>Tejidos armados con metal, de los tipos comúnmente empleados en usos técnicos.</t>
  </si>
  <si>
    <t>6005.37.91</t>
  </si>
  <si>
    <t>Totalmente de poliamidas, con un fieltro de fibras de polipropileno en una de sus caras, como soporte.</t>
  </si>
  <si>
    <t>6117.90.01</t>
  </si>
  <si>
    <t>Cortes de tela para la fabricación o ensamble de prendas de vestir confeccionadas, de algodón.</t>
  </si>
  <si>
    <t>6212.90.99</t>
  </si>
  <si>
    <t>Copas de tejidos de fibras artificiales para portabustos.</t>
  </si>
  <si>
    <t>6304.93.01</t>
  </si>
  <si>
    <t>De fibras sintéticas, excepto de punto.</t>
  </si>
  <si>
    <t>6305.20.01</t>
  </si>
  <si>
    <t>6307.90.99</t>
  </si>
  <si>
    <t>Los demás respiradores.</t>
  </si>
  <si>
    <t>6406.10.09</t>
  </si>
  <si>
    <t>De cuero o piel.</t>
  </si>
  <si>
    <t>6406.20.01</t>
  </si>
  <si>
    <t>Suelas.</t>
  </si>
  <si>
    <t>6406.90.99</t>
  </si>
  <si>
    <t>6505.00.04</t>
  </si>
  <si>
    <t>Redecillas para el cabello.</t>
  </si>
  <si>
    <t>6507.00.01</t>
  </si>
  <si>
    <t>Desudadores, forros, fundas, armaduras, viseras y barboquejos (barbijos), para sombreros y demás tocados.</t>
  </si>
  <si>
    <t>6702.10.01</t>
  </si>
  <si>
    <t>De plástico.</t>
  </si>
  <si>
    <t>6804.30.01</t>
  </si>
  <si>
    <t>Piedras de afilar o pulir a mano.</t>
  </si>
  <si>
    <t>6805.10.01</t>
  </si>
  <si>
    <t>De anchura superior a 1800 mm.</t>
  </si>
  <si>
    <t>6805.20.01</t>
  </si>
  <si>
    <t>Con soporte constituido solamente por papel o cartón.</t>
  </si>
  <si>
    <t>6805.30.01</t>
  </si>
  <si>
    <t>Con soporte de otras materias.</t>
  </si>
  <si>
    <t>6813.81.99</t>
  </si>
  <si>
    <t>6815.11.01</t>
  </si>
  <si>
    <t>Fibras de carbono.</t>
  </si>
  <si>
    <t>6815.12.01</t>
  </si>
  <si>
    <t>Textiles de fibras de carbono.</t>
  </si>
  <si>
    <t>6815.13.91</t>
  </si>
  <si>
    <t>Las demás manufacturas de fibras de carbono.</t>
  </si>
  <si>
    <t>6815.19.99</t>
  </si>
  <si>
    <t>6815.91.99</t>
  </si>
  <si>
    <t>6815.99.99</t>
  </si>
  <si>
    <t>6906.00.01</t>
  </si>
  <si>
    <t>Tubos, canalones y accesorios de tubería, de cerámica.</t>
  </si>
  <si>
    <t>6913.90.99</t>
  </si>
  <si>
    <t>6914.90.99</t>
  </si>
  <si>
    <t>7003.12.02</t>
  </si>
  <si>
    <t>Coloreadas en la masa, opacificadas, chapadas o con capa absorbente, reflectante o antirreflectante.</t>
  </si>
  <si>
    <t>7003.19.02</t>
  </si>
  <si>
    <t>De vidrio claro, estriado, ondulado o estampado con espesor igual o inferior a 6 mm.</t>
  </si>
  <si>
    <t>7005.21.03</t>
  </si>
  <si>
    <t>De vidrio flotado, coloreado en la masa, con espesor inferior o igual a 6 mm.</t>
  </si>
  <si>
    <t>7005.29.99</t>
  </si>
  <si>
    <t>De vidrio flotado claro, con espesor inferior o igual a 6 mm, excepto lo comprendido en el número de identificación comercial 7005.29.99.03.</t>
  </si>
  <si>
    <t>7006.00.04</t>
  </si>
  <si>
    <t>Estriado, ondulado y estampado.</t>
  </si>
  <si>
    <t>7007.11.99</t>
  </si>
  <si>
    <t>Vidrios laterales, claros, planos o curvos para uso automotriz.</t>
  </si>
  <si>
    <t>7007.19.99</t>
  </si>
  <si>
    <t>Vidrios planos o curvos, biselados, grabados, taladrados, esmaltados o trabajados de otra forma, con espesor igual o inferior a 6 mm.</t>
  </si>
  <si>
    <t>7007.21.99</t>
  </si>
  <si>
    <t>Parabrisas, medallones y vidrios laterales, claros, planos o curvos, para uso automotriz.</t>
  </si>
  <si>
    <t>7007.29.99</t>
  </si>
  <si>
    <t>7009.10.99</t>
  </si>
  <si>
    <t>Con control remoto, excepto deportivos.</t>
  </si>
  <si>
    <t>7009.91.99</t>
  </si>
  <si>
    <t>7009.92.01</t>
  </si>
  <si>
    <t>Enmarcados.</t>
  </si>
  <si>
    <t>7010.90.99</t>
  </si>
  <si>
    <t>De capacidad superior a 1 l.</t>
  </si>
  <si>
    <t>7013.49.99</t>
  </si>
  <si>
    <t>Vajillas templadas de vidrio opal.</t>
  </si>
  <si>
    <t>7014.00.99</t>
  </si>
  <si>
    <t>7117.19.99</t>
  </si>
  <si>
    <t>7208.26.01</t>
  </si>
  <si>
    <t>De acero de alta resistencia.</t>
  </si>
  <si>
    <t>7208.27.01</t>
  </si>
  <si>
    <t>7208.39.01</t>
  </si>
  <si>
    <t>7208.51.04</t>
  </si>
  <si>
    <t>De espesor superior a 10 mm, excepto lo comprendido en los números de identificación comercial 7208.51.04.02 y 7208.51.04.03.</t>
  </si>
  <si>
    <t>7209.16.01</t>
  </si>
  <si>
    <t>7209.17.01</t>
  </si>
  <si>
    <t>7211.29.99</t>
  </si>
  <si>
    <t>Flejes de espesor igual o superior a 0.05 mm con un contenido de carbono inferior a 0.6%.</t>
  </si>
  <si>
    <t>7225.19.99</t>
  </si>
  <si>
    <t>7225.30.91</t>
  </si>
  <si>
    <t>Con un contenido de boro igual o superior a 0.0008%, de espesor superior a 10 mm, excepto lo comprendido en el número de identificación comercial 7225.30.91.06.</t>
  </si>
  <si>
    <t>7225.40.91</t>
  </si>
  <si>
    <t>Con un contenido de boro igual o superior a 0.0008%, de espesor superior a 10 mm, excepto de grado herramienta.</t>
  </si>
  <si>
    <t>7304.31.01</t>
  </si>
  <si>
    <t>Tubos "estructurales" de diámetro exterior superior o igual a 60.3 mm pero inferior o igual a 114.3 mm.</t>
  </si>
  <si>
    <t>7306.30.99</t>
  </si>
  <si>
    <t>Diseñados para su uso en calderas, sobrecalentadores, intercambiadores de calor, condensadores, hornos de refinación y calentadores de agua.</t>
  </si>
  <si>
    <t>7308.30.02</t>
  </si>
  <si>
    <t>Puertas, ventanas y sus marcos.</t>
  </si>
  <si>
    <t>7308.90.02</t>
  </si>
  <si>
    <t>Estructuras desarmadas consistentes en armaduras, columnas y sus placas de asiento, ménsulas, planchas de unión, tensores y tirantes, aun cuando se presenten con tuercas y demás partes para la construcción.</t>
  </si>
  <si>
    <t>7308.90.99</t>
  </si>
  <si>
    <t>Panel de acero para la construcción,  también conocidos como paneles de acero; panel de lámina; panel sandwich con poliuretano inyectado; panel de aislamiento; paneles prefabricados.</t>
  </si>
  <si>
    <t>7312.10.05</t>
  </si>
  <si>
    <t>De diámetro inferior  a 9.53 mm.</t>
  </si>
  <si>
    <t>7317.00.01</t>
  </si>
  <si>
    <t>Clavos para herrar.</t>
  </si>
  <si>
    <t>7317.00.99</t>
  </si>
  <si>
    <t>Grapas.</t>
  </si>
  <si>
    <t>7318.15.04</t>
  </si>
  <si>
    <t>Tornillos con diámetro inferior a 6.4 mm (¼ pulgada) y longitud inferior a 50.8 mm (2 pulgadas), excepto las de acero inoxidable y las reconocibles para naves aéreas o uso automotriz.</t>
  </si>
  <si>
    <t>7319.90.99</t>
  </si>
  <si>
    <t>7321.90.99</t>
  </si>
  <si>
    <t>7322.11.02</t>
  </si>
  <si>
    <t>De fundición.</t>
  </si>
  <si>
    <t>7323.10.01</t>
  </si>
  <si>
    <t>Lana de hierro o acero; esponjas, estropajos, guantes y artículos similares para fregar, lustrar o usos análogos.</t>
  </si>
  <si>
    <t>7323.93.05</t>
  </si>
  <si>
    <t>De acero inoxidable.</t>
  </si>
  <si>
    <t>7324.10.01</t>
  </si>
  <si>
    <t>Fregaderos (piletas de lavar) y lavabos, de acero inoxidable.</t>
  </si>
  <si>
    <t>7324.90.91</t>
  </si>
  <si>
    <t>Partes.</t>
  </si>
  <si>
    <t>7407.10.01</t>
  </si>
  <si>
    <t>Barras.</t>
  </si>
  <si>
    <t>7407.21.99</t>
  </si>
  <si>
    <t>7408.11.02</t>
  </si>
  <si>
    <t>De sección transversal inferior o igual a 9.5 mm.</t>
  </si>
  <si>
    <t>7408.19.99</t>
  </si>
  <si>
    <t>7408.22.01</t>
  </si>
  <si>
    <t>A base de cobre-níquel (cuproníquel) de cualquier diámetro, o a base de cobre-níquel-cinc (alpaca) de diámetro superior o igual a 0.5 mm.</t>
  </si>
  <si>
    <t>7411.10.01</t>
  </si>
  <si>
    <t>Con espesor de pared inferior o igual a 3 mm, excepto serpentines.</t>
  </si>
  <si>
    <t>7411.21.01</t>
  </si>
  <si>
    <t>Con espesor de pared inferior o igual a 3 mm, excepto serpentines y lo comprendido en la fracción arancelaria 7411.21.05.</t>
  </si>
  <si>
    <t>7411.29.01</t>
  </si>
  <si>
    <t>7412.10.01</t>
  </si>
  <si>
    <t>De cobre refinado.</t>
  </si>
  <si>
    <t>7412.20.01</t>
  </si>
  <si>
    <t>De aleaciones de cobre.</t>
  </si>
  <si>
    <t>7413.00.02</t>
  </si>
  <si>
    <t>Cables, trenzas y artículos similares, de cobre, sin aislar para electricidad.</t>
  </si>
  <si>
    <t>7418.10.01</t>
  </si>
  <si>
    <t>Artículos de uso doméstico y sus partes; esponjas, estropajos, guantes y artículos similares para fregar, lustrar o usos análogos.</t>
  </si>
  <si>
    <t>7419.20.02</t>
  </si>
  <si>
    <t>Terminales para cables.</t>
  </si>
  <si>
    <t>7419.20.03</t>
  </si>
  <si>
    <t>Accesorios para tendidos aéreos eléctricos.</t>
  </si>
  <si>
    <t>7419.20.99</t>
  </si>
  <si>
    <t>7419.80.02</t>
  </si>
  <si>
    <t>7419.80.03</t>
  </si>
  <si>
    <t>7604.10.02</t>
  </si>
  <si>
    <t>Perfiles.</t>
  </si>
  <si>
    <t>7604.10.99</t>
  </si>
  <si>
    <t>7605.11.99</t>
  </si>
  <si>
    <t>7605.19.99</t>
  </si>
  <si>
    <t>7605.21.99</t>
  </si>
  <si>
    <t>7605.29.99</t>
  </si>
  <si>
    <t>7606.11.99</t>
  </si>
  <si>
    <t>7606.12.99</t>
  </si>
  <si>
    <t>7607.11.01</t>
  </si>
  <si>
    <t>Simplemente laminadas.</t>
  </si>
  <si>
    <t>7607.19.99</t>
  </si>
  <si>
    <t>7610.10.01</t>
  </si>
  <si>
    <t>Puertas y ventanas, y sus marcos, contramarcos y umbrales.</t>
  </si>
  <si>
    <t>7610.90.99</t>
  </si>
  <si>
    <t>7611.00.01</t>
  </si>
  <si>
    <t>Depósitos, cisternas, cubas y recipientes similares para cualquier materia (excepto gas comprimido o licuado), de aluminio, de capacidad superior a 300 l, sin dispositivos mecánicos ni térmicos, incluso con revestimiento interior o calorífugo.</t>
  </si>
  <si>
    <t>7612.90.99</t>
  </si>
  <si>
    <t>7613.00.99</t>
  </si>
  <si>
    <t>7616.10.99</t>
  </si>
  <si>
    <t>7616.91.01</t>
  </si>
  <si>
    <t>Telas metálicas, redes y rejas, de alambre de aluminio.</t>
  </si>
  <si>
    <t>7616.99.13</t>
  </si>
  <si>
    <t>Escaleras.</t>
  </si>
  <si>
    <t>7616.99.99</t>
  </si>
  <si>
    <t>Las demás piezas coladas.</t>
  </si>
  <si>
    <t>8007.00.99</t>
  </si>
  <si>
    <t>8108.90.01</t>
  </si>
  <si>
    <t>Canastillas, bastidores ("Racks") y serpentines.</t>
  </si>
  <si>
    <t>8202.10.01</t>
  </si>
  <si>
    <t>Serruchos (serrotes).</t>
  </si>
  <si>
    <t>8202.10.04</t>
  </si>
  <si>
    <t>Sierras con marco o de arco (arcos con segueta, arcos para seguetas).</t>
  </si>
  <si>
    <t>8202.10.99</t>
  </si>
  <si>
    <t>8202.31.01</t>
  </si>
  <si>
    <t>Con diámetro exterior inferior o igual a 800 mm.</t>
  </si>
  <si>
    <t>8202.39.01</t>
  </si>
  <si>
    <t>Con diámetro inferior o igual a 800 mm, excepto lo comprendido en la fracción arancelaria 8202.39.02.</t>
  </si>
  <si>
    <t>8202.39.99</t>
  </si>
  <si>
    <t>8203.10.99</t>
  </si>
  <si>
    <t>Limas, con peso inferior o igual a 22 g.</t>
  </si>
  <si>
    <t>8203.20.99</t>
  </si>
  <si>
    <t>8203.30.01</t>
  </si>
  <si>
    <t>Cizallas para metales y herramientas similares.</t>
  </si>
  <si>
    <t>8203.40.99</t>
  </si>
  <si>
    <t>Cortatubos.</t>
  </si>
  <si>
    <t>8204.11.01</t>
  </si>
  <si>
    <t>Llaves de palanca con matraca, excepto lo comprendido en la fracción arancelaria 8204.11.02.</t>
  </si>
  <si>
    <t>8204.11.02</t>
  </si>
  <si>
    <t>Con longitud igual o inferior a 610 mm, para tubos.</t>
  </si>
  <si>
    <t>8204.11.99</t>
  </si>
  <si>
    <t>8204.12.99</t>
  </si>
  <si>
    <t>Llaves de ajuste con longitud igual o inferior a 785 mm, para tubos.</t>
  </si>
  <si>
    <t>8204.20.01</t>
  </si>
  <si>
    <t>Con mango.</t>
  </si>
  <si>
    <t>8204.20.99</t>
  </si>
  <si>
    <t>8205.10.99</t>
  </si>
  <si>
    <t>Manerales para aterrajar, aun cuando se presenten con sus dados (terrajas).</t>
  </si>
  <si>
    <t>8205.20.01</t>
  </si>
  <si>
    <t>Martillos y mazas.</t>
  </si>
  <si>
    <t>8205.40.99</t>
  </si>
  <si>
    <t>8205.59.99</t>
  </si>
  <si>
    <t>Punzones.</t>
  </si>
  <si>
    <t>8205.60.02</t>
  </si>
  <si>
    <t>Lámparas de soldar y similares.</t>
  </si>
  <si>
    <t>8205.70.99</t>
  </si>
  <si>
    <t>Tornillos de banco.</t>
  </si>
  <si>
    <t>8205.90.91</t>
  </si>
  <si>
    <t>Los demás, incluidos los juegos de artículos de dos o más de las subpartidas anteriores.</t>
  </si>
  <si>
    <t>8206.00.01</t>
  </si>
  <si>
    <t>Herramientas de dos o más de las partidas 82.02 a 82.05, acondicionadas en juegos para la venta al por menor.</t>
  </si>
  <si>
    <t>8207.90.99</t>
  </si>
  <si>
    <t>8211.92.99</t>
  </si>
  <si>
    <t>8211.93.01</t>
  </si>
  <si>
    <t>Cuchillos, excepto los de hoja fija, incluidas las navajas de podar.</t>
  </si>
  <si>
    <t>8211.94.01</t>
  </si>
  <si>
    <t>Hojas.</t>
  </si>
  <si>
    <t>8212.10.99</t>
  </si>
  <si>
    <t>8213.00.01</t>
  </si>
  <si>
    <t>Tijeras y sus hojas.</t>
  </si>
  <si>
    <t>8214.10.02</t>
  </si>
  <si>
    <t>Sacapuntas.</t>
  </si>
  <si>
    <t>8301.10.01</t>
  </si>
  <si>
    <t>De los tipos utilizados en motocicletas, bicicletas y vehículos similares.</t>
  </si>
  <si>
    <t>8301.20.02</t>
  </si>
  <si>
    <t>Tapones para tanque de gasolina.</t>
  </si>
  <si>
    <t>8301.30.01</t>
  </si>
  <si>
    <t>Cerraduras de los tipos utilizados en muebles.</t>
  </si>
  <si>
    <t>8301.40.91</t>
  </si>
  <si>
    <t>Cerraduras eléctricas y electrónicas, incluso digitales biométricas y de bluetooth.</t>
  </si>
  <si>
    <t>8302.10.01</t>
  </si>
  <si>
    <t>Con mecanismos de resortes, excepto lo comprendido en la fracción arancelaria 8302.10.02.</t>
  </si>
  <si>
    <t>8302.10.99</t>
  </si>
  <si>
    <t>Bisagras de libro o piano.</t>
  </si>
  <si>
    <t>8302.20.02</t>
  </si>
  <si>
    <t>Para muebles.</t>
  </si>
  <si>
    <t>8302.30.91</t>
  </si>
  <si>
    <t>Las demás guarniciones, herrajes y artículos similares, para vehículos automóviles.</t>
  </si>
  <si>
    <t>8302.41.06</t>
  </si>
  <si>
    <t>Herrajes para cortinas venecianas.</t>
  </si>
  <si>
    <t>8302.42.91</t>
  </si>
  <si>
    <t>Cerraduras sin llave, picaportes o pasadores.</t>
  </si>
  <si>
    <t>8302.49.99</t>
  </si>
  <si>
    <t>Las demás jaladeras.</t>
  </si>
  <si>
    <t>8302.50.01</t>
  </si>
  <si>
    <t>Colgadores, perchas, soportes y artículos similares.</t>
  </si>
  <si>
    <t>8302.60.01</t>
  </si>
  <si>
    <t>Cierrapuertas automáticos.</t>
  </si>
  <si>
    <t>8303.00.01</t>
  </si>
  <si>
    <t>8304.00.03</t>
  </si>
  <si>
    <t>Clasificadores, ficheros, cajas de clasificación, bandejas de correspondencia, plumeros (vasos o cajas para plumas de escribir), portasellos y material similar de oficina, de metal común, excepto los muebles de oficina de la partida 94.03.</t>
  </si>
  <si>
    <t>8305.10.01</t>
  </si>
  <si>
    <t>Mecanismos para encuadernación de hojas intercambiables o para clasificadores.</t>
  </si>
  <si>
    <t>8305.20.01</t>
  </si>
  <si>
    <t>Grapas en tiras.</t>
  </si>
  <si>
    <t>8305.90.01</t>
  </si>
  <si>
    <t>Clips u otros sujetadores.</t>
  </si>
  <si>
    <t>8305.90.99</t>
  </si>
  <si>
    <t>8306.10.01</t>
  </si>
  <si>
    <t>Campanas, campanillas, gongos y artículos similares.</t>
  </si>
  <si>
    <t>8307.10.99</t>
  </si>
  <si>
    <t>8307.90.91</t>
  </si>
  <si>
    <t>De los demás metales comunes.</t>
  </si>
  <si>
    <t>8308.10.99</t>
  </si>
  <si>
    <t>8308.20.01</t>
  </si>
  <si>
    <t>Remaches tubulares o con espiga hendida.</t>
  </si>
  <si>
    <t>8308.90.91</t>
  </si>
  <si>
    <t>Los demás, incluidas las partes.</t>
  </si>
  <si>
    <t>8309.90.99</t>
  </si>
  <si>
    <t>Tapones sin cerradura, para tanques de gasolina.</t>
  </si>
  <si>
    <t>8310.00.01</t>
  </si>
  <si>
    <t>Emblemas o monogramas para vehículos automóviles.</t>
  </si>
  <si>
    <t>8310.00.99</t>
  </si>
  <si>
    <t>8311.90.99</t>
  </si>
  <si>
    <t>8402.11.01</t>
  </si>
  <si>
    <t>Calderas acuotubulares con una producción de vapor superior a 45 t por hora.</t>
  </si>
  <si>
    <t>8402.12.01</t>
  </si>
  <si>
    <t>Calderas acuotubulares con una producción de vapor inferior o igual a 45 t por hora.</t>
  </si>
  <si>
    <t>8402.19.01</t>
  </si>
  <si>
    <t>Para generación de vapor de agua.</t>
  </si>
  <si>
    <t>8402.19.99</t>
  </si>
  <si>
    <t>8402.20.01</t>
  </si>
  <si>
    <t>Calderas denominadas "de agua sobrecalentada".</t>
  </si>
  <si>
    <t>8405.10.02</t>
  </si>
  <si>
    <t>Generadores de atmósferas, sean oxidantes, reductoras o neutras, para tratamiento térmico de los metales.</t>
  </si>
  <si>
    <t>8405.10.99</t>
  </si>
  <si>
    <t>8406.82.01</t>
  </si>
  <si>
    <t>De potencia inferior o igual a 2.95 MW (4,000 CP).</t>
  </si>
  <si>
    <t>8408.90.01</t>
  </si>
  <si>
    <t>Con potencia igual o inferior a 960 CP.</t>
  </si>
  <si>
    <t>8409.91.05</t>
  </si>
  <si>
    <t>Pistones (émbolos) de aluminio, con diámetro exterior superior o igual a 58 mm, sin exceder de 140.0 mm, excepto los reconocibles para tractores agrícolas e industriales.</t>
  </si>
  <si>
    <t>8409.91.11</t>
  </si>
  <si>
    <t>Cárteres, excepto los reconocibles para tractores agrícolas e industriales.</t>
  </si>
  <si>
    <t>8409.99.99</t>
  </si>
  <si>
    <t>8412.31.01</t>
  </si>
  <si>
    <t>De aire, reconocibles como diseñados exclusivamente para bombas neumáticas.</t>
  </si>
  <si>
    <t>8413.11.99</t>
  </si>
  <si>
    <t>8413.19.01</t>
  </si>
  <si>
    <t>Distribuidoras con dispositivo medidor, aun cuando se presenten con mecanismo totalizador, excepto de émbolo, para el manejo de oxígeno líquido, a presión entre 29 y 301 kg/cm² (28 y 300 atmósferas), con dispositivos medidor y totalizador.</t>
  </si>
  <si>
    <t>8413.19.03</t>
  </si>
  <si>
    <t>Medidoras, de engranes.</t>
  </si>
  <si>
    <t>8413.20.01</t>
  </si>
  <si>
    <t>Bombas manuales, excepto las de las subpartidas 8413.11 u 8413.19.</t>
  </si>
  <si>
    <t>8413.30.03</t>
  </si>
  <si>
    <t>Para gasolina.</t>
  </si>
  <si>
    <t>8413.60.04</t>
  </si>
  <si>
    <t>Hidráulicas de paletas, para presión inferior o igual a 217 kg/cm² (210 atmósferas).</t>
  </si>
  <si>
    <t>8413.70.99</t>
  </si>
  <si>
    <t>Sumergibles, con tubería de descarga de diámetro interior igual o superior a 63 mm, sin exceder de 610 mm.</t>
  </si>
  <si>
    <t>8413.81.01</t>
  </si>
  <si>
    <t>De caudal variable, aun cuando tengan servomotor.</t>
  </si>
  <si>
    <t>8413.81.02</t>
  </si>
  <si>
    <t>De accionamiento neumático, incluso con depósito, con o sin base rodante, para lubricantes.</t>
  </si>
  <si>
    <t>8414.20.01</t>
  </si>
  <si>
    <t>Bombas de aire, de mano o pedal.</t>
  </si>
  <si>
    <t>8414.30.01</t>
  </si>
  <si>
    <t>Motocompresores, excepto lo comprendido en las fracciones arancelarias 8414.30.04, 8414.30.07, 8414.30.08 y 8414.30.10.</t>
  </si>
  <si>
    <t>8414.30.02</t>
  </si>
  <si>
    <t>Denominados abiertos, excepto lo comprendido en la fracción arancelaria 8414.30.06.</t>
  </si>
  <si>
    <t>8414.30.10</t>
  </si>
  <si>
    <t>Motocompresores herméticos con potencia inferior a 1 CP, de un mínimo de 4.9 de eficiencia energética (BTU/Wh) y capacidad máxima de 750 BTU/h.</t>
  </si>
  <si>
    <t>8414.30.99</t>
  </si>
  <si>
    <t>8414.40.01</t>
  </si>
  <si>
    <t>Compresores o motocompresores, con capacidad hasta 31.5 m³ por minuto y presión de aire hasta 17.6 kg/cm².</t>
  </si>
  <si>
    <t>8414.40.99</t>
  </si>
  <si>
    <t>8414.51.01</t>
  </si>
  <si>
    <t>Ventiladores, de uso doméstico.</t>
  </si>
  <si>
    <t>8414.51.02</t>
  </si>
  <si>
    <t>Ventiladores anticondensantes de 12 V, corriente directa.</t>
  </si>
  <si>
    <t>8414.51.99</t>
  </si>
  <si>
    <t>8414.59.01</t>
  </si>
  <si>
    <t>Ventiladores de uso doméstico.</t>
  </si>
  <si>
    <t>8414.59.99</t>
  </si>
  <si>
    <t>8414.60.99</t>
  </si>
  <si>
    <t>8414.70.01</t>
  </si>
  <si>
    <t>Del tipo de campana aspirante.</t>
  </si>
  <si>
    <t>8414.70.02</t>
  </si>
  <si>
    <t>Filtros.</t>
  </si>
  <si>
    <t>8414.80.06</t>
  </si>
  <si>
    <t>Motocompresores integrales, de 4 o más cilindros motrices, excepto los reconocibles exclusivamente para tractores agrícolas e industriales.</t>
  </si>
  <si>
    <t>8414.80.08</t>
  </si>
  <si>
    <t>Bombas de aire, de dos impulsores rotativos, con capacidad de 2.0 a 48.5 m³, por minuto, excepto los reconocibles exclusivamente para tractores agrícolas e industriales.</t>
  </si>
  <si>
    <t>8414.80.10</t>
  </si>
  <si>
    <t>Enfriadores circulares para hornos de sinterización.</t>
  </si>
  <si>
    <t>8415.20.01</t>
  </si>
  <si>
    <t>De los tipos utilizados en vehículos automóviles para sus ocupantes.</t>
  </si>
  <si>
    <t>8415.81.01</t>
  </si>
  <si>
    <t>Con equipo de enfriamiento y válvula de inversión del ciclo térmico (bombas de calor reversibles).</t>
  </si>
  <si>
    <t>8415.82.01</t>
  </si>
  <si>
    <t>Equipos de aire acondicionado, de ciclo sencillo o reversible con compresor hermético cuya potencia sea inferior o igual a 5 CP.</t>
  </si>
  <si>
    <t>8415.83.01</t>
  </si>
  <si>
    <t>Sin equipo de enfriamiento.</t>
  </si>
  <si>
    <t>8416.10.99</t>
  </si>
  <si>
    <t>8416.20.99</t>
  </si>
  <si>
    <t>8417.10.03</t>
  </si>
  <si>
    <t>Para fusión, calentamiento, recalentamiento y/o tratamiento térmico de metales, excepto la oxicupola, con capacidad superior a 80 t/h y las industriales de operación continua.</t>
  </si>
  <si>
    <t>8417.80.99</t>
  </si>
  <si>
    <t>8418.21.01</t>
  </si>
  <si>
    <t>De compresión.</t>
  </si>
  <si>
    <t>8418.30.99</t>
  </si>
  <si>
    <t>De compresión, de uso doméstico.</t>
  </si>
  <si>
    <t>8418.69.99</t>
  </si>
  <si>
    <t>Máquinas automáticas para la producción de hielo en cubos, escamas u otras formas.</t>
  </si>
  <si>
    <t>8419.11.01</t>
  </si>
  <si>
    <t>De calentamiento instantáneo, de gas.</t>
  </si>
  <si>
    <t>8419.19.99</t>
  </si>
  <si>
    <t>8419.33.01</t>
  </si>
  <si>
    <t>De los tipos utilizados para productos agrícolas.</t>
  </si>
  <si>
    <t>8419.34.99</t>
  </si>
  <si>
    <t>8419.50.03</t>
  </si>
  <si>
    <t>Cambiadores o intercambiadores de temperatura con serpentines tubulares, excepto los constituidos por tubos de grafito impermeabilizados con resinas polimerizadas.</t>
  </si>
  <si>
    <t>8419.89.03</t>
  </si>
  <si>
    <t>Torres de enfriamiento, excepto las reconocibles como diseñadas para la separación y eliminación de contaminantes.</t>
  </si>
  <si>
    <t>8421.19.01</t>
  </si>
  <si>
    <t>Turbinadoras para el refinado del azúcar.</t>
  </si>
  <si>
    <t>8421.19.03</t>
  </si>
  <si>
    <t>Centrífugas con canasta de eje de rotación vertical.</t>
  </si>
  <si>
    <t>8421.21.99</t>
  </si>
  <si>
    <t>Para albercas.</t>
  </si>
  <si>
    <t>8421.23.01</t>
  </si>
  <si>
    <t>Para filtrar lubricantes o carburantes en los motores de encendido por chispa o compresión.</t>
  </si>
  <si>
    <t>8421.29.01</t>
  </si>
  <si>
    <t>Purificadores de líquidos o desaereadores, excepto columnas depuradoras de líquidos, utilizadas para la fabricación de fructosa, dextrosa, glucosa y almidón; y máquinas para filtrar o depurar ácido sulfúrico.</t>
  </si>
  <si>
    <t>8421.29.03</t>
  </si>
  <si>
    <t>Depuradores ciclón.</t>
  </si>
  <si>
    <t>8421.31.99</t>
  </si>
  <si>
    <t>8421.32.99</t>
  </si>
  <si>
    <t>8421.39.99</t>
  </si>
  <si>
    <t>8422.19.99</t>
  </si>
  <si>
    <t>8423.20.99</t>
  </si>
  <si>
    <t>8423.30.02</t>
  </si>
  <si>
    <t>Dosificadores o comprobadoras que funcionen por medio de peso patrón.</t>
  </si>
  <si>
    <t>8423.81.03</t>
  </si>
  <si>
    <t>Con capacidad inferior o igual a 30 kg excepto lo comprendido en el número de identificación comercial 8423.81.03.02.</t>
  </si>
  <si>
    <t>8423.82.03</t>
  </si>
  <si>
    <t>Con capacidad superior a 30 kg pero inferior o igual a 5,000 kg, excepto lo comprendido en el número de identificación comercial 8423.82.03.02.</t>
  </si>
  <si>
    <t>8423.89.99</t>
  </si>
  <si>
    <t>8424.20.01</t>
  </si>
  <si>
    <t>Pulverizadores, espolvoreadores, esparcidores o aspersores, excepto los reconocibles para naves aéreas.</t>
  </si>
  <si>
    <t>8425.11.99</t>
  </si>
  <si>
    <t>8425.19.99</t>
  </si>
  <si>
    <t>8425.31.01</t>
  </si>
  <si>
    <t>Con capacidad hasta 5,000 kg.</t>
  </si>
  <si>
    <t>8425.39.99</t>
  </si>
  <si>
    <t>8425.41.01</t>
  </si>
  <si>
    <t>Elevadores fijos para vehículos automóviles, de los tipos utilizados en talleres.</t>
  </si>
  <si>
    <t>8425.42.01</t>
  </si>
  <si>
    <t>Tipo patín, aun cuando se presenten sin ruedas, con una o más bombas integrales, de peso mayor a 12 kg y capacidad de carga hasta 12 t.</t>
  </si>
  <si>
    <t>8425.42.02</t>
  </si>
  <si>
    <t>Tipo botella con bomba integral, de peso unitario igual o inferior a 20 kg y capacidad máxima de carga de 20 t.</t>
  </si>
  <si>
    <t>8425.49.99</t>
  </si>
  <si>
    <t>8427.10.01</t>
  </si>
  <si>
    <t>Montacargas de carga frontal y unidad motriz trasera (denominado “counterbalance”), con capacidad de carga hasta 3,500 kg.</t>
  </si>
  <si>
    <t>8427.20.01</t>
  </si>
  <si>
    <t>Carretilla con motor de explosión o combustión interna con capacidad de carga hasta 7,000 kg, medida a 620 mm de la cara frontal de las horquillas, excepto lo comprendido en la fracción arancelaria 8427.20.04.</t>
  </si>
  <si>
    <t>8427.20.04</t>
  </si>
  <si>
    <t>Montacargas de carga frontal y unidad motriz trasera (denominado "counterbalance"), con motor de explosión o combustión interna, con capacidad de carga hasta 7,000 kg.</t>
  </si>
  <si>
    <t>8427.90.91</t>
  </si>
  <si>
    <t>Las demás carretillas.</t>
  </si>
  <si>
    <t>8428.10.01</t>
  </si>
  <si>
    <t>Ascensores y montacargas.</t>
  </si>
  <si>
    <t>8428.40.99</t>
  </si>
  <si>
    <t>Escaleras móviles incluso montadas sobre ruedas.</t>
  </si>
  <si>
    <t>8428.70.01</t>
  </si>
  <si>
    <t>Robots industriales.</t>
  </si>
  <si>
    <t>8428.90.99</t>
  </si>
  <si>
    <t>Brazos de carga marinos o terrestres (garzas marinas o terrestres), reconocibles para la carga o descarga de petróleo o sus derivados en navíos o carros tanque.</t>
  </si>
  <si>
    <t>8429.20.01</t>
  </si>
  <si>
    <t>Niveladoras.</t>
  </si>
  <si>
    <t>8430.50.99</t>
  </si>
  <si>
    <t>8438.30.01</t>
  </si>
  <si>
    <t>Cubas provistas de agitadores; desfibradores; trituradoras (desmenuzadoras), molinos.</t>
  </si>
  <si>
    <t>8442.50.01</t>
  </si>
  <si>
    <t>Planchas trimetálicas preparadas.</t>
  </si>
  <si>
    <t>8443.39.02</t>
  </si>
  <si>
    <t>Aparatos de fotocopia electrostáticos, por procedimiento directo (reproducción directa del original) excepto aparatos de fotocopia por sistema óptico.</t>
  </si>
  <si>
    <t>8443.39.06</t>
  </si>
  <si>
    <t>Aparatos de termocopia.</t>
  </si>
  <si>
    <t>8451.21.02</t>
  </si>
  <si>
    <t>De uso doméstico.</t>
  </si>
  <si>
    <t>8457.30.03</t>
  </si>
  <si>
    <t>Con mesa de transferencia lineal o rotativa (máquinas “transfer”) de peso unitario inferior o igual a 10,000 kg.</t>
  </si>
  <si>
    <t>8458.11.01</t>
  </si>
  <si>
    <t>Paralelos universales, con distancia entre puntos hasta de 4.5 m y con capacidad de volteo hasta de 750 mm, de diámetro sobre la bancada.</t>
  </si>
  <si>
    <t>8458.19.01</t>
  </si>
  <si>
    <t>Paralelos universales, con distancia entre puntos hasta de 4.5 m y con capacidad de volteo hasta de 750 mm de diámetro sobre la bancada.</t>
  </si>
  <si>
    <t>8459.51.01</t>
  </si>
  <si>
    <t>De control numérico.</t>
  </si>
  <si>
    <t>8461.50.02</t>
  </si>
  <si>
    <t>Serradoras de disco o de cinta sinfín, excepto de control numérico.</t>
  </si>
  <si>
    <t>8461.50.03</t>
  </si>
  <si>
    <t>Serradoras hidráulicas alternativas, excepto de control numérico.</t>
  </si>
  <si>
    <t>8462.11.01</t>
  </si>
  <si>
    <t>Hidráulicas con capacidad (de presión de trabajo) hasta 1,000 t.</t>
  </si>
  <si>
    <t>8462.19.01</t>
  </si>
  <si>
    <t>8462.22.01</t>
  </si>
  <si>
    <t>Prensas mecánicas con capacidad inferior o igual a 200 t.</t>
  </si>
  <si>
    <t>8462.23.01</t>
  </si>
  <si>
    <t>8462.26.01</t>
  </si>
  <si>
    <t>Enderezadoras de alambre o alambrón.</t>
  </si>
  <si>
    <t>8462.26.02</t>
  </si>
  <si>
    <t>Dobladoras de tubos, accionadas con motor, para tubos con diámetro igual o inferior a 70 mm y espesor de pared igual o inferior a 6.5 mm.</t>
  </si>
  <si>
    <t>8462.26.03</t>
  </si>
  <si>
    <t>8462.29.01</t>
  </si>
  <si>
    <t>8462.29.03</t>
  </si>
  <si>
    <t>Prensas hidráulicas con capacidad (de presión de trabajo) hasta 1,000 t, excepto de control numérico.</t>
  </si>
  <si>
    <t>8462.29.05</t>
  </si>
  <si>
    <t>Dobladoras (plegadoras) de accionamiento mecánico, con motor, excepto de control numérico.</t>
  </si>
  <si>
    <t>8462.29.06</t>
  </si>
  <si>
    <t>Dobladoras de tubos accionadas con motor, para tubos con diámetro igual o inferior a 70 mm y espesor de pared igual o inferior a 6.5 mm.</t>
  </si>
  <si>
    <t>8462.29.07</t>
  </si>
  <si>
    <t>8462.33.01</t>
  </si>
  <si>
    <t>Máquinas de cizallar, de control numérico.</t>
  </si>
  <si>
    <t>8462.39.01</t>
  </si>
  <si>
    <t>Cizallas o guillotinas; cortadoras de alambre o alambrón.</t>
  </si>
  <si>
    <t>8462.39.03</t>
  </si>
  <si>
    <t>8462.51.01</t>
  </si>
  <si>
    <t>8462.51.02</t>
  </si>
  <si>
    <t>Cizallas o guillotinas.</t>
  </si>
  <si>
    <t>8462.59.01</t>
  </si>
  <si>
    <t>Dobladoras (plegadoras) de accionamiento mecánico, con motor.</t>
  </si>
  <si>
    <t>8462.59.02</t>
  </si>
  <si>
    <t>8462.59.03</t>
  </si>
  <si>
    <t>8462.61.01</t>
  </si>
  <si>
    <t>Prensas hidráulicas con capacidad (de presión de trabajo) hasta 1,000 t.</t>
  </si>
  <si>
    <t>8462.62.01</t>
  </si>
  <si>
    <t>Prensas mecánicas con capacidad inferior o igual a 200 t, excepto para punzonar o entallar.</t>
  </si>
  <si>
    <t>8465.91.01</t>
  </si>
  <si>
    <t>De cinta sinfín, de disco o alternativas.</t>
  </si>
  <si>
    <t>8465.95.01</t>
  </si>
  <si>
    <t>Taladradoras o escopleadoras.</t>
  </si>
  <si>
    <t>8466.10.03</t>
  </si>
  <si>
    <t>Portatroqueles.</t>
  </si>
  <si>
    <t>8466.93.03</t>
  </si>
  <si>
    <t>Reconocibles como diseñadas exclusiva o principalmente para taladros de columna o banco con transmisión por bandas o engranados.</t>
  </si>
  <si>
    <t>8467.21.01</t>
  </si>
  <si>
    <t>Taladros, con capacidad de entrada de 6.35, 9.52 o 12.70 mm.</t>
  </si>
  <si>
    <t>8467.21.03</t>
  </si>
  <si>
    <t>Perforadoras por percusión y rotación (rotomartillos), con potencia inferior o igual a ½ CP.</t>
  </si>
  <si>
    <t>8467.21.99</t>
  </si>
  <si>
    <t>8467.22.02</t>
  </si>
  <si>
    <t>Sierras de disco con potencia del motor igual o inferior a 2.33 CP.</t>
  </si>
  <si>
    <t>8467.22.03</t>
  </si>
  <si>
    <t>Sierra caladora, con potencia inferior o igual a 0.4 CP.</t>
  </si>
  <si>
    <t>8467.29.01</t>
  </si>
  <si>
    <t>Esmeriladoras con un mínimo de 4,000 RPM a un máximo de 8,000 RPM, con capacidad de 8 a 25 amperes y de 100 a 150 V, con peso de 4 kg a 8 kg.</t>
  </si>
  <si>
    <t>8467.29.03</t>
  </si>
  <si>
    <t>Pulidora-lijadora orbital con potencia inferior o igual a 0.2 CP.</t>
  </si>
  <si>
    <t>8467.29.99</t>
  </si>
  <si>
    <t>8468.10.01</t>
  </si>
  <si>
    <t>Sopletes manuales.</t>
  </si>
  <si>
    <t>8472.90.99</t>
  </si>
  <si>
    <t>Perforadoras accionadas por palanca, para dos perforaciones en distancias de 7 u 8 cm, con peso unitario inferior o igual a 1 kg.</t>
  </si>
  <si>
    <t>8474.10.01</t>
  </si>
  <si>
    <t>Clasificadoras de tamiz, de minerales tipo espiral o tipo rastrillo.</t>
  </si>
  <si>
    <t>8474.20.99</t>
  </si>
  <si>
    <t>Quebrantadores y trituradores de dos o más cilindros.</t>
  </si>
  <si>
    <t>8474.80.01</t>
  </si>
  <si>
    <t>Prensas de accionamiento manual.</t>
  </si>
  <si>
    <t>8475.29.01</t>
  </si>
  <si>
    <t>Para moldear por soplado o prensado, excepto para fabricar ampollas para lámparas incandescentes.</t>
  </si>
  <si>
    <t>8476.90.02</t>
  </si>
  <si>
    <t>8477.20.01</t>
  </si>
  <si>
    <t>De un husillo, para materias termoplásticas o de elastómeros granulados.</t>
  </si>
  <si>
    <t>8479.81.02</t>
  </si>
  <si>
    <t>Toneles giratorios para el decapado, limpieza, pulido o abrillantado de piezas metálicas.</t>
  </si>
  <si>
    <t>8479.81.04</t>
  </si>
  <si>
    <t>Para limpieza, pulido o abrillantado de piezas metálicas con abrasivos en circulación, excepto lo comprendido en la fracción arancelaria 8479.81.02.</t>
  </si>
  <si>
    <t>8479.81.07</t>
  </si>
  <si>
    <t>Para galvanizar, estañar o recubrir metales, excepto líneas continuas para galvanizar alambre de acero, por inmersión y lo comprendido en la fracción arancelaria 8479.81.03.</t>
  </si>
  <si>
    <t>8479.82.02</t>
  </si>
  <si>
    <t>Cubas u otros recipientes provistos de agitadores, incluso con sistemas de vacío o vidriados interiormente, excepto lo comprendido en las fracciones arancelarias 8479.82.01 y 8479.82.05.</t>
  </si>
  <si>
    <t>8479.82.04</t>
  </si>
  <si>
    <t>Agitador-mezclador de hélice, excepto lo comprendido en la fracción arancelaria 8479.82.05.</t>
  </si>
  <si>
    <t>8479.89.03</t>
  </si>
  <si>
    <t>Separadores o clasificadores de materiales o partes ferrosas, a base de dispositivos magnéticos o electromagnéticos.</t>
  </si>
  <si>
    <t>8479.89.04</t>
  </si>
  <si>
    <t>Aparatos para la generación de una corriente controlada de aire ("cortinas de aire") para impedir la entrada de insectos, polvo y mantener la temperatura de un recinto.</t>
  </si>
  <si>
    <t>8479.89.06</t>
  </si>
  <si>
    <t>Aparatos neumáticos o hidráulicos para automatizar máquinas, aparatos o artefactos mecánicos.</t>
  </si>
  <si>
    <t>8479.89.07</t>
  </si>
  <si>
    <t>Para fabricar cierres relámpago.</t>
  </si>
  <si>
    <t>8479.89.08</t>
  </si>
  <si>
    <t>Frenos de motor.</t>
  </si>
  <si>
    <t>8479.89.10</t>
  </si>
  <si>
    <t>Acumuladores hidráulicos.</t>
  </si>
  <si>
    <t>8479.89.13</t>
  </si>
  <si>
    <t>Vibradores electromagnéticos, incluso con alimentador.</t>
  </si>
  <si>
    <t>8479.89.14</t>
  </si>
  <si>
    <t>Reactores o convertidores catalíticos tubulares.</t>
  </si>
  <si>
    <t>8479.89.19</t>
  </si>
  <si>
    <t>Deshumectadores, con sistema de refrigeración incorporado, para condensar la humedad atmosférica.</t>
  </si>
  <si>
    <t>8479.89.22</t>
  </si>
  <si>
    <t>Para desmontar llantas.</t>
  </si>
  <si>
    <t>8480.60.99</t>
  </si>
  <si>
    <t>8481.10.01</t>
  </si>
  <si>
    <t>De diafragma, con regulación manual.</t>
  </si>
  <si>
    <t>8481.30.01</t>
  </si>
  <si>
    <t>Válvulas de retención, que operen automáticamente, excepto trampas de vapor; y las reconocibles como diseñadas exclusivamente para el funcionamiento de máquinas, aparatos o artefactos mecánicos para sistemas hidráulicos de aceite en circuitos cerrados.</t>
  </si>
  <si>
    <t>8481.40.04</t>
  </si>
  <si>
    <t>De seguridad, y contra escape de gas, de uso doméstico, excepto automáticas o semiautomáticas, reconocibles como diseñadas exclusivamente para calentadores no eléctricos.</t>
  </si>
  <si>
    <t>8481.80.02</t>
  </si>
  <si>
    <t>Grifería sanitaria de uso doméstico.</t>
  </si>
  <si>
    <t>8481.80.04</t>
  </si>
  <si>
    <t>Válvulas de compuerta, excepto lo comprendido en la fracción arancelaria 8481.80.24.</t>
  </si>
  <si>
    <t>8481.80.07</t>
  </si>
  <si>
    <t>Boquillas o espreas para aspersión.</t>
  </si>
  <si>
    <t>8481.80.18</t>
  </si>
  <si>
    <t>De hierro o acero con resistencia a la presión superior a 18 kg/cm², excepto lo comprendido en la fracción arancelaria 8481.80.04.</t>
  </si>
  <si>
    <t>8481.80.21</t>
  </si>
  <si>
    <t>De cobre, bronce, latón o aluminio, sin recubrimiento en su superficie, excepto lo comprendido en la fracción arancelaria 8481.80.02.</t>
  </si>
  <si>
    <t>8481.80.99</t>
  </si>
  <si>
    <t>8482.10.02</t>
  </si>
  <si>
    <t>En fila sencilla con diámetro interior superior o igual a 12.7 mm, sin exceder de 50.8 mm y diámetro exterior superior o igual a 40 mm, sin exceder de 100 mm, con superficie exterior esférica, excepto los de centro de eje cuadrado.</t>
  </si>
  <si>
    <t>8482.20.01</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</si>
  <si>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ANSI-ABMA Standard 19.2 o ISO 355, incluyendo los que contengan números y/o letras posteriores a los números de serie y códigos indicados, excepto los reconocibles para naves aéreas.</t>
  </si>
  <si>
    <t>8482.99.01</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</si>
  <si>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</si>
  <si>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8483.60.02</t>
  </si>
  <si>
    <t>Acoplamientos elásticos, acoplamientos de acero forjado con peso unitario superior o igual a 600 kg.</t>
  </si>
  <si>
    <t>8483.60.99</t>
  </si>
  <si>
    <t>8484.10.01</t>
  </si>
  <si>
    <t>Juntas metaloplásticas.</t>
  </si>
  <si>
    <t>8487.90.01</t>
  </si>
  <si>
    <t>Cilindros hidráulicos.</t>
  </si>
  <si>
    <t>8487.90.99</t>
  </si>
  <si>
    <t>8501.31.01</t>
  </si>
  <si>
    <t>Generadores.</t>
  </si>
  <si>
    <t>8501.31.05</t>
  </si>
  <si>
    <t>Motores con potencia superior o igual a 186 W (¼ CP), excepto lo comprendido en las fracciones arancelarias 8501.31.03 y 8501.31.04.</t>
  </si>
  <si>
    <t>8501.31.99</t>
  </si>
  <si>
    <t>8501.32.01</t>
  </si>
  <si>
    <t>8501.32.05</t>
  </si>
  <si>
    <t>Motores de potencia igual o inferior a 3.75 kW (5 CP).</t>
  </si>
  <si>
    <t>8501.32.99</t>
  </si>
  <si>
    <t>8501.33.01</t>
  </si>
  <si>
    <t>Generadores con capacidad hasta de 150 kW.</t>
  </si>
  <si>
    <t>8501.33.99</t>
  </si>
  <si>
    <t>8501.34.05</t>
  </si>
  <si>
    <t>Motores, con potencia inferior o igual a 2,611 kW (3,500 CP), excepto reconocibles para naves aéreas, para ascensores o elevadores, para trolebuses.</t>
  </si>
  <si>
    <t>8501.40.05</t>
  </si>
  <si>
    <t>Síncronos, con potencia igual o inferior a 4,475 kW (6,000 CP).</t>
  </si>
  <si>
    <t>8501.40.08</t>
  </si>
  <si>
    <t>Motores de corriente alterna, asíncronos monofásicos, según normas NMX-J-75 o NMX-J-226, o sus equivalentes, excepto los motores para ascensores o elevadores; para máquinas de afeitar o cortar el pelo, incluidas las esquiladoras y lo comprendido en la fracción arancelaria 8501.40.05.</t>
  </si>
  <si>
    <t>8501.51.02</t>
  </si>
  <si>
    <t>Asíncronos, trifásicos.</t>
  </si>
  <si>
    <t>8501.52.04</t>
  </si>
  <si>
    <t>Asíncronos, trifásicos, excepto los reconocibles para naves aéreas; para trolebuses; para ascensores o elevadores.</t>
  </si>
  <si>
    <t>8501.53.04</t>
  </si>
  <si>
    <t>Asíncronos, trifásicos, con potencia de salida inferior o igual a 8,952 kW (12,000 CP), excepto los reconocibles para naves aéreas; para trolebuses, ascensores o elevadores.</t>
  </si>
  <si>
    <t>8501.53.05</t>
  </si>
  <si>
    <t>Síncronos, con potencia de salida igual o inferior a 4,475 kW (6,000 CP), excepto los reconocibles para naves aéreas y para trolebuses.</t>
  </si>
  <si>
    <t>8501.61.01</t>
  </si>
  <si>
    <t>De potencia inferior o igual a 75 kVA.</t>
  </si>
  <si>
    <t>8501.62.01</t>
  </si>
  <si>
    <t>De potencia superior a 75 kVA pero inferior o igual a 375 kVA.</t>
  </si>
  <si>
    <t>8501.63.01</t>
  </si>
  <si>
    <t>De potencia superior a 375 kVA pero inferior o igual a 750 kVA.</t>
  </si>
  <si>
    <t>8501.64.01</t>
  </si>
  <si>
    <t>De potencia superior a 750 kVA, pero inferior o igual a 6,000 kVA, excepto lo comprendido en la fracción arancelaria 8501.64.03.</t>
  </si>
  <si>
    <t>8501.71.01</t>
  </si>
  <si>
    <t>De potencia inferior o igual a 50 W.</t>
  </si>
  <si>
    <t>8501.72.01</t>
  </si>
  <si>
    <t>De potencia superior a 150 kW pero inferior o igual a 375 kW.</t>
  </si>
  <si>
    <t>8501.72.99</t>
  </si>
  <si>
    <t>8501.80.99</t>
  </si>
  <si>
    <t>8502.11.01</t>
  </si>
  <si>
    <t>8502.12.01</t>
  </si>
  <si>
    <t>8502.13.99</t>
  </si>
  <si>
    <t>8502.20.99</t>
  </si>
  <si>
    <t>Con potencia superior a 1,500 kVA pero inferior o igual a 2,000 kVA.</t>
  </si>
  <si>
    <t>8502.39.99</t>
  </si>
  <si>
    <t>8502.40.01</t>
  </si>
  <si>
    <t>Convertidores rotativos eléctricos.</t>
  </si>
  <si>
    <t>8504.10.01</t>
  </si>
  <si>
    <t>Balastos para lámparas.</t>
  </si>
  <si>
    <t>8504.21.99</t>
  </si>
  <si>
    <t>Para instrumentos para medición y/o protección.</t>
  </si>
  <si>
    <t>8504.22.01</t>
  </si>
  <si>
    <t>De potencia superior a 650 kVA pero inferior o igual a 10,000 kVA.</t>
  </si>
  <si>
    <t>8504.31.03</t>
  </si>
  <si>
    <t>De distribución, monofásicos o trifásicos.</t>
  </si>
  <si>
    <t>8504.31.04</t>
  </si>
  <si>
    <t>Para instrumentos, para medición y/o protección.</t>
  </si>
  <si>
    <t>8504.32.99</t>
  </si>
  <si>
    <t>8504.33.02</t>
  </si>
  <si>
    <t>8504.34.01</t>
  </si>
  <si>
    <t>De potencia superior a 500 kVA.</t>
  </si>
  <si>
    <t>8504.40.01</t>
  </si>
  <si>
    <t>Para soldadura eléctrica, con capacidad nominal igual o inferior a 400 amperes.</t>
  </si>
  <si>
    <t>8504.40.13</t>
  </si>
  <si>
    <t>Controladores de velocidad para motores eléctricos.</t>
  </si>
  <si>
    <t>8504.40.16</t>
  </si>
  <si>
    <t>Fuentes de voltaje, con conversión de corriente CA/CC/CA, llamadas "no break" o "uninterruptible power supply" ("UPS"), excepto reguladores automáticos de voltaje y lo comprendido en la fracción arancelaria 8504.40.14.</t>
  </si>
  <si>
    <t>8504.40.99</t>
  </si>
  <si>
    <t>8505.20.01</t>
  </si>
  <si>
    <t>Acoplamientos, embragues, variadores de velocidad y frenos, electromagnéticos.</t>
  </si>
  <si>
    <t>8507.10.99</t>
  </si>
  <si>
    <t>8507.20.99</t>
  </si>
  <si>
    <t>Del tipo utilizado como fuente de energía para la propulsión de vehículos eléctricos.</t>
  </si>
  <si>
    <t>8508.11.01</t>
  </si>
  <si>
    <t>De potencia inferior o igual a 1,500 W y de capacidad del depósito o bolsa para el polvo inferior o igual a 20 l.</t>
  </si>
  <si>
    <t>8508.19.99</t>
  </si>
  <si>
    <t>Aspiradoras, con peso superior a 20 kg, para uso industrial.</t>
  </si>
  <si>
    <t>8508.60.91</t>
  </si>
  <si>
    <t>Las demás aspiradoras.</t>
  </si>
  <si>
    <t>8508.70.01</t>
  </si>
  <si>
    <t>Reconocibles como diseñadas exclusivamente para aspiradoras, con peso superior a 20 kg, para uso industrial.</t>
  </si>
  <si>
    <t>8508.70.02</t>
  </si>
  <si>
    <t>Carcasas.</t>
  </si>
  <si>
    <t>8508.70.99</t>
  </si>
  <si>
    <t>8509.80.99</t>
  </si>
  <si>
    <t>Con dispositivos intercambiables, para uso múltiple.</t>
  </si>
  <si>
    <t>8510.90.03</t>
  </si>
  <si>
    <t>Hojas con o sin filo.</t>
  </si>
  <si>
    <t>8510.90.99</t>
  </si>
  <si>
    <t>8511.10.03</t>
  </si>
  <si>
    <t>Cuyo electrodo central sea de níquel, tungsteno; platino, iridio o de aleaciones de oro; o que contengan dos o más electrodos a tierra; excepto los reconocibles como diseñadas para naves aéreas, tractores agrícolas e industriales o motocicletas.</t>
  </si>
  <si>
    <t>8511.80.01</t>
  </si>
  <si>
    <t>Reguladores de arranque.</t>
  </si>
  <si>
    <t>8511.80.99</t>
  </si>
  <si>
    <t>8512.20.99</t>
  </si>
  <si>
    <t>8513.10.99</t>
  </si>
  <si>
    <t>8514.11.01</t>
  </si>
  <si>
    <t>Prensas isostáticas en caliente.</t>
  </si>
  <si>
    <t>8514.19.01</t>
  </si>
  <si>
    <t>Hornos para panadería o industrias análogas.</t>
  </si>
  <si>
    <t>8514.19.03</t>
  </si>
  <si>
    <t>Hornos industriales, excepto lo comprendido en las fracciones arancelarias 8514.19.01, 8514.19.02 y 8514.19.04.</t>
  </si>
  <si>
    <t>8514.19.99</t>
  </si>
  <si>
    <t>8514.20.03</t>
  </si>
  <si>
    <t>Hornos industriales, excepto lo comprendido en las fracciones arancelarias 8514.20.01, 8514.20.02, 8514.20.04 y 8514.20.05.</t>
  </si>
  <si>
    <t>8514.20.99</t>
  </si>
  <si>
    <t>8515.11.01</t>
  </si>
  <si>
    <t>Para soldar o cortar, portátiles ("cautines").</t>
  </si>
  <si>
    <t>8515.11.99</t>
  </si>
  <si>
    <t>8515.19.99</t>
  </si>
  <si>
    <t>8515.21.99</t>
  </si>
  <si>
    <t>8515.31.01</t>
  </si>
  <si>
    <t>Para soldar o cortar, de arco, tipo generador o transformador, inferior o igual a 1,260 amperes.</t>
  </si>
  <si>
    <t>8515.31.99</t>
  </si>
  <si>
    <t>8515.39.01</t>
  </si>
  <si>
    <t>8515.39.99</t>
  </si>
  <si>
    <t>8515.90.01</t>
  </si>
  <si>
    <t>Pinzas portaelectrodos o sus partes, para soldadura por arco.</t>
  </si>
  <si>
    <t>8516.10.02</t>
  </si>
  <si>
    <t>Calentadores eléctricos de agua de calentamiento instantáneo o acumulación y calentadores eléctricos de inmersión.</t>
  </si>
  <si>
    <t>8516.21.01</t>
  </si>
  <si>
    <t>Radiadores de acumulación.</t>
  </si>
  <si>
    <t>8516.29.99</t>
  </si>
  <si>
    <t>Estufas.</t>
  </si>
  <si>
    <t>8516.79.01</t>
  </si>
  <si>
    <t>Para calefacción de automóviles.</t>
  </si>
  <si>
    <t>8516.79.99</t>
  </si>
  <si>
    <t>8517.18.99</t>
  </si>
  <si>
    <t>De monedas (alcancía) para servicio público, incluso con avisador.</t>
  </si>
  <si>
    <t>8517.69.91</t>
  </si>
  <si>
    <t>Los demás aparatos receptores.</t>
  </si>
  <si>
    <t>8518.21.02</t>
  </si>
  <si>
    <t>Sistemas constituidos por un altavoz "subwoofer" con amplificador incorporado, y varios altavoces (un altavoz por caja), que se conectan a dicho amplificador.</t>
  </si>
  <si>
    <t>8518.22.02</t>
  </si>
  <si>
    <t>Sistemas constituidos por un altavoz "subwoofer" con amplificador incorporado, y varios altavoces (dos o más altavoces por caja), que se conectan a dicho amplificador.</t>
  </si>
  <si>
    <t>8518.30.03</t>
  </si>
  <si>
    <t>Microteléfono.</t>
  </si>
  <si>
    <t>8518.40.99</t>
  </si>
  <si>
    <t>Preamplificadores, excepto los de 10 o más entradas cuando se presenten con expansor-compresor de volumen.</t>
  </si>
  <si>
    <t>8518.50.01</t>
  </si>
  <si>
    <t>Equipos eléctricos para amplificación de sonido.</t>
  </si>
  <si>
    <t>8519.81.13</t>
  </si>
  <si>
    <t>Contestadores telefónicos.</t>
  </si>
  <si>
    <t>8519.81.99</t>
  </si>
  <si>
    <t>8521.90.99</t>
  </si>
  <si>
    <t>8523.29.91</t>
  </si>
  <si>
    <t>Las demás cintas magnéticas grabadas.</t>
  </si>
  <si>
    <t>8523.41.01</t>
  </si>
  <si>
    <t>Discos de escritura (conocidos como CD-R; DVD-R, y demás formatos), para sistemas de lectura por rayo láser.</t>
  </si>
  <si>
    <t>8523.51.99</t>
  </si>
  <si>
    <t>8526.91.99</t>
  </si>
  <si>
    <t>8526.92.99</t>
  </si>
  <si>
    <t>8527.13.99</t>
  </si>
  <si>
    <t>8527.19.99</t>
  </si>
  <si>
    <t>8527.21.01</t>
  </si>
  <si>
    <t>Receptores de radio AM-FM, aun cuando incluyan transmisores-receptores de radio banda civil o receptor de señal satelital, o entradas para "Bluethooth" o "USB".</t>
  </si>
  <si>
    <t>8527.21.99</t>
  </si>
  <si>
    <t>8527.29.01</t>
  </si>
  <si>
    <t>Receptores de radiodifusión, AM reconocibles como diseñados exclusivamente para uso automotriz.</t>
  </si>
  <si>
    <t>8527.29.99</t>
  </si>
  <si>
    <t>8527.91.02</t>
  </si>
  <si>
    <t>Portátil, para pilas y corriente, con altavoces y gabinete incorporados.</t>
  </si>
  <si>
    <t>8527.92.01</t>
  </si>
  <si>
    <t>Sin combinar con grabador o reproductor de sonido, pero combinados con reloj.</t>
  </si>
  <si>
    <t>8527.99.99</t>
  </si>
  <si>
    <t>Combinados exclusivamente con un aparato de grabación o reproducción de disco, de video (imagen y sonido) digitalizado, con amplificador incorporado, salidas para altavoces y procesador digital de audio, aun cuando se presenten con sus altavoces.</t>
  </si>
  <si>
    <t>8528.49.99</t>
  </si>
  <si>
    <t>8528.59.99</t>
  </si>
  <si>
    <t>8528.71.99</t>
  </si>
  <si>
    <t>8528.72.01</t>
  </si>
  <si>
    <t>Con pantalla inferior o igual a 35.56 cm (14 pulgadas), excepto los de alta definición, los tipo proyección y los comprendidos en la fracción arancelaria 8528.72.06.</t>
  </si>
  <si>
    <t>8528.72.02</t>
  </si>
  <si>
    <t>Con pantalla superior a 35.56 cm (14 pulgadas), excepto los de alta definición, los tipo proyección y los comprendidos en la fracción arancelaria 8528.72.06.</t>
  </si>
  <si>
    <t>8528.72.99</t>
  </si>
  <si>
    <t>8531.10.99</t>
  </si>
  <si>
    <t>Detectores electrónicos de humo, de monóxido de carbono, o de calor.</t>
  </si>
  <si>
    <t>8531.80.01</t>
  </si>
  <si>
    <t>Sirenas.</t>
  </si>
  <si>
    <t>8531.80.99</t>
  </si>
  <si>
    <t>Timbres, campanillas, zumbadores y otros avisadores acústicos.</t>
  </si>
  <si>
    <t>8532.25.02</t>
  </si>
  <si>
    <t>Fijos de películas plásticas, excepto los reconocibles para naves aéreas y aquellos con dieléctrico de plástico, sin terminales, de montaje por contacto.</t>
  </si>
  <si>
    <t>8535.10.99</t>
  </si>
  <si>
    <t>8536.10.03</t>
  </si>
  <si>
    <t>Fusibles de alta capacidad de ruptura, de 20,000 amperes eficaces o más y cualquier corriente nominal, hasta 600 voltios de tensión, inclusive; excepto los reconocibles para naves aéreas.</t>
  </si>
  <si>
    <t>8536.10.04</t>
  </si>
  <si>
    <t>Corta circuitos de fusible excepto los reconocibles para naves aéreas.</t>
  </si>
  <si>
    <t>8536.20.99</t>
  </si>
  <si>
    <t>8536.41.03</t>
  </si>
  <si>
    <t>Térmicos o por inducción.</t>
  </si>
  <si>
    <t>8536.69.02</t>
  </si>
  <si>
    <t>Tomas de corriente con peso unitario inferior o igual a 2 kg.</t>
  </si>
  <si>
    <t>8536.90.28</t>
  </si>
  <si>
    <t>Cajas de conexión, de derivación, de corte, extremidad u otras cajas análogas.</t>
  </si>
  <si>
    <t>8537.10.03</t>
  </si>
  <si>
    <t>Cuadros de mando para máquinas de soldar por resistencia.</t>
  </si>
  <si>
    <t>8537.10.04</t>
  </si>
  <si>
    <t>Cuadros de mando o distribución, operados mediante botones (botoneras).</t>
  </si>
  <si>
    <t>8539.21.99</t>
  </si>
  <si>
    <t>8539.22.99</t>
  </si>
  <si>
    <t>8539.31.99</t>
  </si>
  <si>
    <t>8539.39.99</t>
  </si>
  <si>
    <t>8539.51.99</t>
  </si>
  <si>
    <t>8543.70.17</t>
  </si>
  <si>
    <t>Ecualizadores.</t>
  </si>
  <si>
    <t>8544.11.01</t>
  </si>
  <si>
    <t>De cobre.</t>
  </si>
  <si>
    <t>8544.19.99</t>
  </si>
  <si>
    <t>De aluminio o sus aleaciones, con aislamiento a base de cualquier esmalte, con diámetro del conductor inferior o igual a 0.361 mm.</t>
  </si>
  <si>
    <t>8544.20.01</t>
  </si>
  <si>
    <t>Cables coaxiales, de uno o más conductores eléctricos, aislados y con funda de malla de metal, aun cuando vengan recubiertos de materias aislantes, con o sin mensajero de acero, con una impedancia de 50 a 75 ohms.</t>
  </si>
  <si>
    <t>8544.20.99</t>
  </si>
  <si>
    <t>8544.30.99</t>
  </si>
  <si>
    <t>Arneses reconocibles como diseñados exclusivamente para uso automotriz.</t>
  </si>
  <si>
    <t>8544.42.99</t>
  </si>
  <si>
    <t>Formas de cables cortados y atados (arneses), para la conexión de centrales telefónicas.</t>
  </si>
  <si>
    <t>8544.49.99</t>
  </si>
  <si>
    <t>8544.60.91</t>
  </si>
  <si>
    <t>De cobre, aluminio o sus aleaciones.</t>
  </si>
  <si>
    <t>8546.10.99</t>
  </si>
  <si>
    <t>8546.20.99</t>
  </si>
  <si>
    <t>8546.90.99</t>
  </si>
  <si>
    <t>8609.00.01</t>
  </si>
  <si>
    <t>Contenedores (incluidos los contenedores cisterna y los contenedores depósito) especialmente diseñados y equipados para uno o varios medios de transporte.</t>
  </si>
  <si>
    <t>8706.00.99</t>
  </si>
  <si>
    <t>8708.10.03</t>
  </si>
  <si>
    <t>Defensas completas, reconocibles como diseñadas exclusivamente para vehículos automóviles de hasta diez plazas.</t>
  </si>
  <si>
    <t>8708.10.99</t>
  </si>
  <si>
    <t>8708.22.01</t>
  </si>
  <si>
    <t>Parabrisas, vidrios traseros (lunetas) y demás ventanillas especificados en la Nota 1 de subpartida de este Capítulo.</t>
  </si>
  <si>
    <t>8708.29.10</t>
  </si>
  <si>
    <t>Marcos para cristales.</t>
  </si>
  <si>
    <t>8708.29.20</t>
  </si>
  <si>
    <t>Partes troqueladas para carrocería.</t>
  </si>
  <si>
    <t>8708.29.22</t>
  </si>
  <si>
    <t>Tableros de instrumentos, incluso con instrumentos de medida o control, para uso exclusivo en vehículos automóviles.</t>
  </si>
  <si>
    <t>8708.29.99</t>
  </si>
  <si>
    <t>Compuerta trasera abatible para cajas "Pick-up".</t>
  </si>
  <si>
    <t>8708.30.08</t>
  </si>
  <si>
    <t>Frenos de tambor accionados por leva o sus partes componentes.</t>
  </si>
  <si>
    <t>8708.30.09</t>
  </si>
  <si>
    <t>Cilindros maestros para mecanismos de frenos.</t>
  </si>
  <si>
    <t>8708.30.10</t>
  </si>
  <si>
    <t>Frenos de tambor accionados hidráulicamente o sus partes componentes, excepto lo comprendido en la fracción arancelaria 8708.30.06.</t>
  </si>
  <si>
    <t>8708.30.11</t>
  </si>
  <si>
    <t>Mangueras de frenos hidráulicos automotrices con conexiones.</t>
  </si>
  <si>
    <t>8708.40.99</t>
  </si>
  <si>
    <t>Engranes.</t>
  </si>
  <si>
    <t>8708.50.05</t>
  </si>
  <si>
    <t>Acoplados a las masas, con o sin mecanismos de frenos y tambores, excepto lo comprendido en las fracciones arancelarias 8708.50.04 y 8708.50.91.</t>
  </si>
  <si>
    <t>8708.50.07</t>
  </si>
  <si>
    <t>Ejes con diferencial delanteros, excepto lo comprendido en las fracciones arancelarias 8708.50.06 y 8708.50.91.</t>
  </si>
  <si>
    <t>8708.50.13</t>
  </si>
  <si>
    <t>Ejes portadores reconocibles como diseñados exclusivamente para lo comprendido en la partida 87.03.</t>
  </si>
  <si>
    <t>8708.50.20</t>
  </si>
  <si>
    <t>Reconocibles como diseñados exclusivamente para ejes cardán, excepto lo comprendido en las fracciones arancelarias 8708.50.22 y 8708.50.23.</t>
  </si>
  <si>
    <t>8708.50.99</t>
  </si>
  <si>
    <t>Fundas para ejes traseros.</t>
  </si>
  <si>
    <t>8708.70.06</t>
  </si>
  <si>
    <t>Tapones o polveras y arillos para ruedas, excepto las reconocidas como diseñadas exclusivamente para trolebuses y lo comprendido en la fracción arancelaria 8701.30.01.</t>
  </si>
  <si>
    <t>8708.80.04</t>
  </si>
  <si>
    <t>Cartuchos para amortiguadores ("Mc Pherson Struts").</t>
  </si>
  <si>
    <t>8708.80.07</t>
  </si>
  <si>
    <t>Horquillas, brazos, excéntricos o pernos, para el sistema de suspensión delantera.</t>
  </si>
  <si>
    <t>8708.80.08</t>
  </si>
  <si>
    <t>Partes componentes de barras de torsión.</t>
  </si>
  <si>
    <t>8708.80.09</t>
  </si>
  <si>
    <t>Barras de torsión.</t>
  </si>
  <si>
    <t>8708.80.10</t>
  </si>
  <si>
    <t>Rótulas, para el sistema de suspensión delantera.</t>
  </si>
  <si>
    <t>8708.80.11</t>
  </si>
  <si>
    <t>Partes reconocibles como diseñados exclusivamente para amortiguadores.</t>
  </si>
  <si>
    <t>8708.80.12</t>
  </si>
  <si>
    <t>Bujes para suspensión.</t>
  </si>
  <si>
    <t>8708.80.99</t>
  </si>
  <si>
    <t>8708.91.99</t>
  </si>
  <si>
    <t>8708.99.04</t>
  </si>
  <si>
    <t>Tanques de combustible, excepto los reconocidos como exclusivamente para trolebuses o lo comprendido en la fracción arancelaria 8701.30.01.</t>
  </si>
  <si>
    <t>8708.99.07</t>
  </si>
  <si>
    <t>Bastidores ("chasis"), excepto los reconocidos como exclusivamente para trolebuses o lo comprendido en la fracción arancelaria 8701.30.01.</t>
  </si>
  <si>
    <t>8708.99.08</t>
  </si>
  <si>
    <t>Perchas o columpios, excepto los reconocidos como exclusivamente para trolebuses o lo comprendido en la fracción arancelaria 8701.30.01.</t>
  </si>
  <si>
    <t>8708.99.09</t>
  </si>
  <si>
    <t>Uniones de ballestas (abrazaderas o soportes), excepto los reconocidos como exclusivamente para trolebuses o lo comprendido en la fracción arancelaria 8701.30.01.</t>
  </si>
  <si>
    <t>8715.00.02</t>
  </si>
  <si>
    <t>Partes reconocibles como diseñadas exclusivamente para lo comprendido en la fracción arancelaria 8715.00.01.</t>
  </si>
  <si>
    <t>8716.39.99</t>
  </si>
  <si>
    <t>Remolques o semirremolques tipo plataforma con o sin redilas, incluso los reconocibles para el transporte de cajas o rejas de latas o botellas o portacontenedores, o camas bajas, excepto con suspensión hidráulica o neumática y cuello de ganso abatible.</t>
  </si>
  <si>
    <t>8716.40.91</t>
  </si>
  <si>
    <t>Los demás remolques y semirremolques.</t>
  </si>
  <si>
    <t>8716.80.99</t>
  </si>
  <si>
    <t>Carretillas y carros de mano.</t>
  </si>
  <si>
    <t>8903.11.01</t>
  </si>
  <si>
    <t>Equipadas o diseñadas para equiparlas con motor, de peso en vacío, sin motor, inferior o igual a 100 kg.</t>
  </si>
  <si>
    <t>8903.12.01</t>
  </si>
  <si>
    <t>No diseñadas para ser utilizadas con motor y de peso en vacío inferior o igual a 100 kg.</t>
  </si>
  <si>
    <t>8903.19.99</t>
  </si>
  <si>
    <t>9004.90.99</t>
  </si>
  <si>
    <t>9005.80.91</t>
  </si>
  <si>
    <t>Los demás instrumentos.</t>
  </si>
  <si>
    <t>9006.53.99</t>
  </si>
  <si>
    <t>9006.59.01</t>
  </si>
  <si>
    <t>Para películas en rollo de anchura inferior a 35 mm, excepto las utilizados para registrar documentos en microfilmes, microfichas u otros microformatos.</t>
  </si>
  <si>
    <t>9006.69.99</t>
  </si>
  <si>
    <t>9010.60.01</t>
  </si>
  <si>
    <t>Pantallas de proyección.</t>
  </si>
  <si>
    <t>9011.10.99</t>
  </si>
  <si>
    <t>9011.20.91</t>
  </si>
  <si>
    <t>Los demás microscopios para fotomicrografía, cinefotomicrografía o microproyección.</t>
  </si>
  <si>
    <t>9011.80.91</t>
  </si>
  <si>
    <t>Los demás microscopios.</t>
  </si>
  <si>
    <t>9014.10.99</t>
  </si>
  <si>
    <t>9015.80.99</t>
  </si>
  <si>
    <t>Instrumentos y aparatos necesarios para medir la capa de ozono y para monitorear, medir y prevenir sismos u otros fenómenos naturales.</t>
  </si>
  <si>
    <t>9017.10.99</t>
  </si>
  <si>
    <t>9017.20.99</t>
  </si>
  <si>
    <t>9017.80.99</t>
  </si>
  <si>
    <t>Cintas métricas, de acero, de hasta 10 m de longitud (Flexómetros).</t>
  </si>
  <si>
    <t>9018.31.01</t>
  </si>
  <si>
    <t>De vidrio o de plástico, con capacidad hasta 30 ml.</t>
  </si>
  <si>
    <t>9018.32.99</t>
  </si>
  <si>
    <t>Para raquia, lavado de oídos y para ojos.</t>
  </si>
  <si>
    <t>9018.39.06</t>
  </si>
  <si>
    <t>Lancetas.</t>
  </si>
  <si>
    <t>9018.90.07</t>
  </si>
  <si>
    <t>Bisturís.</t>
  </si>
  <si>
    <t>9020.00.99</t>
  </si>
  <si>
    <t>Máscaras antigás.</t>
  </si>
  <si>
    <t>9025.11.99</t>
  </si>
  <si>
    <t>9025.19.99</t>
  </si>
  <si>
    <t>9025.80.01</t>
  </si>
  <si>
    <t>Aerómetros y densímetros.</t>
  </si>
  <si>
    <t>9026.20.03</t>
  </si>
  <si>
    <t>Reguladores medidores de la presión de aire a inyectar en neumáticos de vehículos, incluso con distribuidores de agua.</t>
  </si>
  <si>
    <t>9026.20.04</t>
  </si>
  <si>
    <t>Reguladores de presión, acoplados a válvulas o manómetros.</t>
  </si>
  <si>
    <t>9028.20.03</t>
  </si>
  <si>
    <t>Contadores de agua, excepto los equipados con dispositivos que permitan su lectura remota (lectura electrónica).</t>
  </si>
  <si>
    <t>9028.30.01</t>
  </si>
  <si>
    <t>Vatihorímetros.</t>
  </si>
  <si>
    <t>9029.10.03</t>
  </si>
  <si>
    <t>Taxímetros electrónicos o electromecánicos.</t>
  </si>
  <si>
    <t>9031.80.01</t>
  </si>
  <si>
    <t>Controles fotoeléctricos.</t>
  </si>
  <si>
    <t>9031.80.07</t>
  </si>
  <si>
    <t>Niveles.</t>
  </si>
  <si>
    <t>9032.10.03</t>
  </si>
  <si>
    <t>Automáticos para el control de la temperatura del agua, con dispositivos de seguridad para fallas de flama.</t>
  </si>
  <si>
    <t>9032.10.99</t>
  </si>
  <si>
    <t>Para estufas y caloríficos.</t>
  </si>
  <si>
    <t>9032.20.01</t>
  </si>
  <si>
    <t>Manostatos (presostatos).</t>
  </si>
  <si>
    <t>9032.89.02</t>
  </si>
  <si>
    <t>Reguladores automáticos de voltaje, excepto para uso industrial, incluso combinados, en una misma envolvente o carcasa, con una fuente de voltaje con conversión de corriente CA/CC/CA, de las también llamadas "no break" o "uninterruptible power supply" ("UPS").</t>
  </si>
  <si>
    <t>9032.89.06</t>
  </si>
  <si>
    <t>Reguladores tipo inducción, excepto lo comprendido en la fracción arancelaria 9032.89.02.</t>
  </si>
  <si>
    <t>9032.89.99</t>
  </si>
  <si>
    <t>9208.10.01</t>
  </si>
  <si>
    <t>Cajas de música.</t>
  </si>
  <si>
    <t>9208.90.99</t>
  </si>
  <si>
    <t>9401.31.01</t>
  </si>
  <si>
    <t>De madera.</t>
  </si>
  <si>
    <t>9401.39.99</t>
  </si>
  <si>
    <t>9401.71.01</t>
  </si>
  <si>
    <t>Con relleno.</t>
  </si>
  <si>
    <t>9401.79.99</t>
  </si>
  <si>
    <t>Sillones, bancos y sillas.</t>
  </si>
  <si>
    <t>9403.30.01</t>
  </si>
  <si>
    <t>Muebles de madera de los tipos utilizados en oficinas, excepto lo comprendido en la fracción arancelaria 9403.30.02.</t>
  </si>
  <si>
    <t>9403.50.01</t>
  </si>
  <si>
    <t>Muebles de madera de los tipos utilizados en dormitorios.</t>
  </si>
  <si>
    <t>9403.60.99</t>
  </si>
  <si>
    <t>9403.70.03</t>
  </si>
  <si>
    <t>Muebles de plástico.</t>
  </si>
  <si>
    <t>9404.21.02</t>
  </si>
  <si>
    <t>Colchonetas.</t>
  </si>
  <si>
    <t>9404.29.99</t>
  </si>
  <si>
    <t>De otras materias.</t>
  </si>
  <si>
    <t>9404.40.01</t>
  </si>
  <si>
    <t>De ancho inferior o igual a 160 cm.</t>
  </si>
  <si>
    <t>9404.90.99</t>
  </si>
  <si>
    <t>Almohadas y cojines.</t>
  </si>
  <si>
    <t>9405.11.01</t>
  </si>
  <si>
    <t>Lámparas equipadas con baterías, clavijas e interruptores.</t>
  </si>
  <si>
    <t>9405.19.99</t>
  </si>
  <si>
    <t>Candiles.</t>
  </si>
  <si>
    <t>9405.21.01</t>
  </si>
  <si>
    <t>Lámparas eléctricas de pie.</t>
  </si>
  <si>
    <t>9405.29.99</t>
  </si>
  <si>
    <t>9405.41.01</t>
  </si>
  <si>
    <t>Fotovoltaicos, diseñados para ser utilizados únicamente con fuentes luminosas de diodos emisores de luz (LED).</t>
  </si>
  <si>
    <t>9405.42.91</t>
  </si>
  <si>
    <t>Los demás, diseñados para ser utilizados únicamente con fuentes luminosas de diodos emisores de luz (LED).</t>
  </si>
  <si>
    <t>9405.49.99</t>
  </si>
  <si>
    <t>9405.61.01</t>
  </si>
  <si>
    <t>Diseñados para ser utilizados únicamente con fuentes luminosas de diodos emisores de luz (LED).</t>
  </si>
  <si>
    <t>9405.69.99</t>
  </si>
  <si>
    <t>9405.91.99</t>
  </si>
  <si>
    <t>9405.92.01</t>
  </si>
  <si>
    <t>9405.99.99</t>
  </si>
  <si>
    <t>9506.99.99</t>
  </si>
  <si>
    <t>9507.20.01</t>
  </si>
  <si>
    <t>Anzuelos, incluso montados en sedal (tanza).</t>
  </si>
  <si>
    <t>9603.29.99</t>
  </si>
  <si>
    <t>9603.40.01</t>
  </si>
  <si>
    <t>Pinceles y brochas para pintar, enlucir, barnizar o similares (excepto los de la subpartida 9603.30); almohadillas o muñequillas y rodillos, para pintar.</t>
  </si>
  <si>
    <t>9603.90.99</t>
  </si>
  <si>
    <t>9606.10.01</t>
  </si>
  <si>
    <t>Botones de presión y sus partes.</t>
  </si>
  <si>
    <t>9606.21.01</t>
  </si>
  <si>
    <t>De plástico, sin forrar con materia textil.</t>
  </si>
  <si>
    <t>9606.22.01</t>
  </si>
  <si>
    <t>De metal común, sin forrar con materia textil.</t>
  </si>
  <si>
    <t>9606.29.99</t>
  </si>
  <si>
    <t>9606.30.01</t>
  </si>
  <si>
    <t>Formas para botones y demás partes de botones; esbozos de botones.</t>
  </si>
  <si>
    <t>9607.11.01</t>
  </si>
  <si>
    <t>Con dientes de metal común.</t>
  </si>
  <si>
    <t>9607.19.99</t>
  </si>
  <si>
    <t>9607.20.01</t>
  </si>
  <si>
    <t>9608.99.99</t>
  </si>
  <si>
    <t>9609.90.99</t>
  </si>
  <si>
    <t>9611.00.99</t>
  </si>
  <si>
    <t>@SNICEmx</t>
  </si>
  <si>
    <t>www.snice.gob.mx</t>
  </si>
  <si>
    <t xml:space="preserve">Ex. </t>
  </si>
  <si>
    <t>Ex. Excepto: Follajes u hojas; Árboles de navidad; Yucas.</t>
  </si>
  <si>
    <t>Ex. Excepto: Chile "ancho" o "anaheim".</t>
  </si>
  <si>
    <t>Ex. Excepto: Copal y goma laca.</t>
  </si>
  <si>
    <t>Ex. Excepto: Derivados de la raíz de Rawolfia heterophila que contengan el alcaloide llamado reserpina.</t>
  </si>
  <si>
    <t>Ex. Únicamente: Materias vegetales de las especies utilizadas principalmente en la fabricación de escobas, cepillos o brochas (por ejemplo: sorgo, piasava, grama, ixtle (tampico)), incluso en torcidas o en haces.</t>
  </si>
  <si>
    <t>Ex. Únicamente: Harina de flor de zempasúchitl.</t>
  </si>
  <si>
    <t>Ex. Excepto: Bellotas y castañas de Indias.</t>
  </si>
  <si>
    <t xml:space="preserve">5 </t>
  </si>
  <si>
    <t xml:space="preserve">3 </t>
  </si>
  <si>
    <t>Ex. Excepto: Butanoato de etilo (Butirato de etilo).</t>
  </si>
  <si>
    <t>Ex. Excepto: Miristato de isopropilo; sales del ácido 2-propilpentanoico (Sales del ácido valproico); sales del ácido 2-etilhexanoico; dicaprilato de trietilenglicol; monolaurato de sorbitán.</t>
  </si>
  <si>
    <t>Ex. Excepto: Sales del ácido 2-propilpentanoico (Sales del ácido valproico); miristato de isopropilo; Sales del ácido 2-etilhexanoico; dicaprilato de trietilenglicol; monolaurato de sorbitán.</t>
  </si>
  <si>
    <t>Ex. Excepto: Difenilmetan-4,4'-diisocianato.</t>
  </si>
  <si>
    <t xml:space="preserve">7 </t>
  </si>
  <si>
    <t>5 Únicamente: Barnices a base de resinas catiónicas de dimetilaminoetilmetacrilato o a base de resinas aniónicas del ácido metacrílico reaccionadas con ésteres del ácido metacrílico.</t>
  </si>
  <si>
    <t>Ex. Excepto: Barnices a base de resinas catiónicas de dimetilaminoetilmetacrilato o a base de resinas aniónicas del ácido metacrílico reaccionadas con ésteres del ácido metacrílico.</t>
  </si>
  <si>
    <t>Ex. Únicamente: De filamento de nailon.</t>
  </si>
  <si>
    <t>3 Únicamente: Adhesivos a base de resinas de poliuretano, del tipo poliol, poliéster o poliéter modificados con isocianatos, con o sin cargas y pigmentos.</t>
  </si>
  <si>
    <t>3 Excepto: Adhesivos termofusibles al 100% de concentrado de sólidos, a base de materias plásticas artificiales, ceras y otros componentes.</t>
  </si>
  <si>
    <t>3 Excepto: Estabilizantes para compuestos plásticos vinílicos, a base de estaño, plomo, calcio, bario, cinc y/o cadmio.</t>
  </si>
  <si>
    <t>Ex. Excepto: Cloroparafinas; ácidos grasos dimerizados; sal orgánica compuesta por silicatos de arcillas bentónicas o modificados con compuestos cuaternarios de amonio; mezcla de difenilmetan diisocianato y polimetilen polifenil isocianato; blanqueadores para harina a base de peróxido de benzoilo y fosfato de calcio; polisebacato de propilenglicol; preparaciones para impedir que resbalen las poleas; composiciones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nafténicos; ésteres de los ácidos nafténicos.</t>
  </si>
  <si>
    <t>3 Excepto: Cloroparafinas; ácidos grasos dimerizados; sal orgánica compuesta por silicatos de arcillas bentónicas o modificados con compuestos cuaternarios de amonio; blanqueadores para harina a base de peróxido de benzoilo y fosfato de calcio; polisebacato de propilenglicol; preparaciones para impedir que resbalen las poleas; 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nafténicos; ésteres de los ácidos nafténicos; mezcla de difenilmetan diisocianato y polimetilen polifenil isocianato.</t>
  </si>
  <si>
    <t>Ex. Excepto: Cloroparafinas; ácidos grasos dimerizados; sal orgánica compuesta por silicatos de arcillas bentónicas o modificados con compuestos cuaternarios de amonio; mezcla de difenilmetan diisocianato y polimetilen polifenil isocianato; blanqueadores para harina a base de peróxido de benzoilo y fosfato de calcio; Polisebacato de propilenglicol; preparaciones para impedir que resbalen las poleas; composiciones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 ésteres de los ácidos nafténicos.</t>
  </si>
  <si>
    <t>Ex. Excepto: Polietileno, clorado o clorosulfonado sin cargas ni modificantes, ni pigmentos; copolímeros de etileno y ácido acrílico, o metacrílico.</t>
  </si>
  <si>
    <t>5 Excepto: Resinas epóxidas.</t>
  </si>
  <si>
    <t>3 Únicamente: Resinas alcídicas (alquídicas), sin pigmentar, en forma líquida o pastosa, incluidas las emulsiones, dispersiones y soluciones.</t>
  </si>
  <si>
    <t>Ex. Excepto: Resinas provenientes de la condensación del fenol y sus derivados, con el formaldehído, y/o paraformaldehído, con o sin adición de modificantes; Fenoplastos.</t>
  </si>
  <si>
    <t>Ex. Únicamente: Resinas provenientes de la condensación del fenol y sus derivados, con el formaldehído, y/o paraformaldehído, con o sin adición de modificantes.</t>
  </si>
  <si>
    <t>3 Únicamente: Poliuretanos, sin pigmentos, cargas o modificantes en forma líquida o pastosa, incluidas las emulsiones, dispersiones y soluciones.</t>
  </si>
  <si>
    <t>3 Excepto: Desechos, desperdicios y recortes de poli (tereftalato de etileno) (PET).</t>
  </si>
  <si>
    <t>Ex. Excepto: Baldosas (losetas) vinílicas, para recubrimientos en pisos.</t>
  </si>
  <si>
    <t>5 Excepto: A base de poliestireno expandible.</t>
  </si>
  <si>
    <t>Ex. Excepto: A base de poliestireno expandible.</t>
  </si>
  <si>
    <t>5 Excepto: Tanques o recipientes con capacidad superior o igual a 3.5 l.</t>
  </si>
  <si>
    <t xml:space="preserve">5 Excepto: Tanques o recipientes con capacidad superior o igual a 3.5 l. </t>
  </si>
  <si>
    <t>Ex. Excepto: Tanques o recipientes con capacidad superior o igual a 3.5 l.</t>
  </si>
  <si>
    <t>5 Excepto: Ballenas para corsés, para prendas de vestir o para accesorios del vestido y análogos.</t>
  </si>
  <si>
    <t>Ex. Excepto: Ballenas para corsés, para prendas de vestir o para accesorios del vestido y análogos.</t>
  </si>
  <si>
    <t>5 Excepto: Molduras para carrocerías.</t>
  </si>
  <si>
    <t>Ex. Únicamente: De poli(butadieno-estireno) incluso modificados con ácidos carboxílicos, así como los prevulcanizados.</t>
  </si>
  <si>
    <t>Ex. Excepto: De poli(butadieno-estireno) incluso modificados con ácidos carboxílicos, así como los prevulcanizados.</t>
  </si>
  <si>
    <t>5 Únicamente: De poli(butadieno-estireno) incluso modificados con ácidos carboxílicos, así como los prevulcanizados.</t>
  </si>
  <si>
    <t>Ex. Excepto: Con diámetro interior igual a 33.02 cm (13 pulgadas) y cuya altura de la sección transversal sea del 60% de su anchura.</t>
  </si>
  <si>
    <t>Ex. Excepto: Con diámetro interior inferior o igual a 44.45 cm, de construcción radial.</t>
  </si>
  <si>
    <t>3 Excepto: Los demás para rines de diámetro superior a 61 cm.</t>
  </si>
  <si>
    <t>Ex. Únicamente: Bandas de protección (corbatas).</t>
  </si>
  <si>
    <t>3 Excepto: Bandas de rodadura para recauchutar neumáticos.</t>
  </si>
  <si>
    <t>Ex. Excepto: Partes cortadas en forma, reconocibles como diseñadas exclusivamente para cinturones portaherramientas.</t>
  </si>
  <si>
    <t>Ex. Únicamente: Listones y molduras para muebles, marcos, decorados interiores, conducciones eléctricas y análogos.</t>
  </si>
  <si>
    <t xml:space="preserve">10 </t>
  </si>
  <si>
    <t>5 Únicamente: Cuando tengan, por lo menos, un tablero de partículas.</t>
  </si>
  <si>
    <t>Ex. Excepto: Adoquines.</t>
  </si>
  <si>
    <t>Ex. Excepto: Parafinado o encerado; autoadhesivo, en tiras o en bobinas (rollos); papel engomado o adhesivo; tarjetas o fichas de papel o cartón, con bandas magnéticas para máquinas eléctricas de contabilidad; del color de la pasta, con un contenido superior al 50% de pasta mecánica de madera, con longitud inferior o igual a 66 cm y peso superior a 700 g/m² pero inferior o igual 1,300 g/m², en bandas; papel metalizado; aceitado en bandas; positivo emulsionado, insensible a la luz; kraft impregnado o revestido por una o ambas caras, para uso exclusivo en la fabricación de pilas eléctricas secas; diseños, modelos o patrones.</t>
  </si>
  <si>
    <t>Ex. Excepto: Parafinado o encerado; autoadhesivo, en tiras o en bobinas (rollos); papel engomado o adhesivo; tarjetas o fichas de papel o cartón, con bandas magnéticas para máquinas eléctricas de contabilidad; del color de la pasta, con más del 50% de pasta mecánica de madera, con longitud inferior o igual a 66 cm y peso superior a 700 g/m² sin exceder de 1,300 g/m², en bandas; papel metalizado; aceitado en bandas; positivo emulsionado, insensible a la luz; kraft impregnado o revestido por una o ambas caras, para uso exclusivo en la fabricación de pilas eléctricas secas; dseños, modelos o patrones.</t>
  </si>
  <si>
    <t>Ex. Excepto: Franjas o láminas adheribles decorativas para carrocería de vehículos, recortadas a tamaños determinados.</t>
  </si>
  <si>
    <t>Ex. Excepto: De ligamento sarga.</t>
  </si>
  <si>
    <t>Ex. Únicamente: De ligamento sarga, de curso superior a 4.</t>
  </si>
  <si>
    <t>5 Excepto: Asfaltados, embreados, alquitranados y/o adicionados de caucho sintético.</t>
  </si>
  <si>
    <t>5 Únicamente: De forma cilíndrica o rectangular.</t>
  </si>
  <si>
    <t>Ex. Únicamente: De forma cilíndrica o rectangular.</t>
  </si>
  <si>
    <t>Ex. Excepto: De fibras aramídicas, o de propiedades dieléctricas a base de rayón y alcohol polivinílico con peso superior a 70 g/m² pero inferior a 85 g/m².</t>
  </si>
  <si>
    <t>10 Excepto: Alfombra en rollos, de fibras de poliamidas y con un soporte antiderrapante, de anchura igual o superior a 1.1 m pero inferior o igual a 2.2 m.</t>
  </si>
  <si>
    <t>Ex. Únicamente: De fibras sintéticas o artificiales.</t>
  </si>
  <si>
    <t>5 Únicamente: Cintas o tiras adhesivas.</t>
  </si>
  <si>
    <t>5 Excepto: Tejidos armados con metal, de los tipos comúnmente empleados en usos técnicos.</t>
  </si>
  <si>
    <t>Ex. Únicamente: Totalmente de poliamidas, con un fieltro de fibras de polipropileno en una de sus caras, como soporte.</t>
  </si>
  <si>
    <t>Ex. Excepto: Redecillas para el cabello; gorras, cachuchas, boinas, monteras o bonetes; sombreros y demás tocados de fieltro, fabricados con cascos o platos de la partida 65.01, incluso guarnecidos.</t>
  </si>
  <si>
    <t>5 Únicamente: Curvadas, biseladas, grabadas, taladradas, o trabajadas de otro modo, sin enmarcar ni combinar con otras materias.</t>
  </si>
  <si>
    <t>5 Únicamente: De vidrio flotado, coloreado en la masa, con espesor inferior o igual a 6 mm.</t>
  </si>
  <si>
    <t>Ex. Únicamente: De vidrio flotado, coloreado en la masa, con espesor inferior o igual a 6 mm.</t>
  </si>
  <si>
    <t>Ex. Únicamente: De vidrio flotado claro, con espesor inferior o igual a 6 mm, excepto lo comprendido en el número de identificación comercial 7005.29.99.03.</t>
  </si>
  <si>
    <t>Ex. Excepto: Flotado claro; Flotado, coloreados en la masa.</t>
  </si>
  <si>
    <t>5 Únicamente: Estriado, ondulado y estampado.</t>
  </si>
  <si>
    <t>Ex. Únicamente: Flotado claro.</t>
  </si>
  <si>
    <t>Ex. Excepto: Vidrios laterales, claros, planos o curvos para uso automotriz; medallones sombreados, de color o polarizados, planos o curvos, para uso automotriz.</t>
  </si>
  <si>
    <t>5 Únicamente: Vidrios planos o curvos, biselados, grabados, taladrados, esmaltados o trabajados de otra forma, con espesor inferior o igual a 6 mm.</t>
  </si>
  <si>
    <t>5 Excepto: Vidrios planos o curvos, biselados, grabados, taladrados, esmaltados o trabajados de otra forma, con espesor inferior o igual a 6 mm.</t>
  </si>
  <si>
    <t>Ex. Excepto: Con control remoto; con marco de uso automotriz; deportivos.</t>
  </si>
  <si>
    <t>Ex. Excepto: Deportivos; Con marco de uso automotriz; Con control remoto.</t>
  </si>
  <si>
    <t>Ex. Únicamente: Con control remoto; con marco de uso automotriz.</t>
  </si>
  <si>
    <t>5 Únicamente: De capacidad inferior a 0.15 l.</t>
  </si>
  <si>
    <t>5 Únicamente: De capacidad superior a 0.33 l pero inferior o igual a 1 l.</t>
  </si>
  <si>
    <t>5 Excepto: De capacidad superior a 1 l.</t>
  </si>
  <si>
    <t>Ex. Únicamente: De capacidad superior a 0.33 l pero inferior o igual a 1 l.</t>
  </si>
  <si>
    <t>Ex. Únicamente: Flejes con un contenido de carbono superior o igual a 0.6%.</t>
  </si>
  <si>
    <t>Ex. Excepto: Con un contenido de boro superior o igual a 0; 0008%, de espesor superior a 10 mm; con un contenido de boro superior o igual a 0; 0008%, de espesor superior o igual a 4; 75 mm, pero inferior o igual a 10 mm; con un contenido de boro superior o igual a 0; 0008%, de espesor superior o igual a 3 mm, pero inferior a 4; 75 mm; con un contenido de boro superior o igual a 0; 0008%, de espesor inferior a 3 mm; de acero rápido.</t>
  </si>
  <si>
    <t>Ex. Únicamente: Con un contenido de boro superior o igual a 0.0008%, de espesor superior a 10 mm, excepto de grado herramienta.</t>
  </si>
  <si>
    <t>Ex. Únicamente: Radiadores.</t>
  </si>
  <si>
    <t>Ex. Excepto: Partes; distribuidores de toallas; cómodos, urinales o riñoneras.</t>
  </si>
  <si>
    <t>Ex. Excepto: De sección transversal inferior o igual a 9.5 mm.</t>
  </si>
  <si>
    <t>Ex. Excepto: Con alma de hierro.</t>
  </si>
  <si>
    <t>Ex. Únicamente: Cortatubos.</t>
  </si>
  <si>
    <t>Ex. Únicamente: Manerales para aterrajar, aun cuando se presenten con sus dados (terrajas).</t>
  </si>
  <si>
    <t>5 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t>
  </si>
  <si>
    <t>Ex. Excepto: Paletas (cucharas) de albañil; avellanadoras o expansores para tubos; aparatos o herramientas tipo pistola, impulsados por cartuchos detonantes, para incrustar o remachar taquetes, pernos o clavos; llanas; alcuzas (aceiteras); cortavidrios.</t>
  </si>
  <si>
    <t>Ex. Excepto: Lámparas de soldar.</t>
  </si>
  <si>
    <t>Ex. Excepto: Amoladoras o esmeriladoras, de pedal o de palanca (muelas con bastidor).</t>
  </si>
  <si>
    <t>5 Excepto: Sacapuntas.</t>
  </si>
  <si>
    <t>Ex. Excepto: Para muebles.</t>
  </si>
  <si>
    <t>5 Excepto: Herrajes para cortinas venecianas; cortineros; cerraduras sin llave, picaportes o pasadores; dispositivos compensadores para la sujeción de ventanas de guillotina; fallebas u otros mecanismos similares.</t>
  </si>
  <si>
    <t>5 Excepto: Cortineros; cerraduras sin llave, picaportes o pasadores; dispositivos compensadores para la sujeción de ventanas de guillotina; fallebas u otros mecanismos similares.</t>
  </si>
  <si>
    <t>Ex. Únicamente: Reconocibles como diseñadas exclusivamente para asientos, incluso los transformables en camas.</t>
  </si>
  <si>
    <t xml:space="preserve">2.5 </t>
  </si>
  <si>
    <t>5 Únicamente: Sellos o precintos.</t>
  </si>
  <si>
    <t>Ex. Excepto: Tapones sin cerradura, para tanques de gasolina; sellos o precintos; cápsulas para botellas.</t>
  </si>
  <si>
    <t>Ex. Únicamente: Tapones sin cerradura, para tanques de gasolina.</t>
  </si>
  <si>
    <t>3 Excepto: Sellos o precintos; cápsulas para botellas; tapones sin cerradura, para tanques de gasolina.</t>
  </si>
  <si>
    <t>5 Excepto: Tapones sin cerradura, para tanques de gasolina; sellos o precintos; cápsulas para botellas.</t>
  </si>
  <si>
    <t>5 Excepto: Sumergibles, con tubería de descarga de diámetro interior superior o igual a 63 mm, pero inferior o igual a 610 mm; Bombas de tipo centrífugo para manejo de petróleo y sus derivados.</t>
  </si>
  <si>
    <t>5 Excepto: Sumergibles, con tubería de descarga de diámetro interior igual o superior a 63 mm, pero inferior o igual a 610 mm; Bombas de tipo centrífugo para manejo de petróleo y sus derivados.</t>
  </si>
  <si>
    <t>5 Excepto: Bombas de tipo centrífugo para manejo de petróleo y sus derivados.</t>
  </si>
  <si>
    <t>Ex. Excepto: Sumergibles, con tubería de descarga de diámetro interior superior o igual a 63 mm, pero inferior o igual a 610 mm; Bombas de tipo centrífugo para manejo de petróleo y sus derivados.</t>
  </si>
  <si>
    <t>5 Excepto: Sumergibles, con tubería de descarga de diámetro interior igual o superior a 63 mm, sin exceder de 610 mm; Motobombas sumergibles; Bombas de tipo centrífugo para manejo de petróleo y sus derivados.</t>
  </si>
  <si>
    <t>Ex. Excepto: Sumergibles, con tubería de descarga de diámetro interior superior o igual a 63 mm, pero inferior o igual a 610 mm; Motobombas sumergibles; Bombas de tipo centrífugo para manejo de petróleo y sus derivados.</t>
  </si>
  <si>
    <t>Ex. Excepto: Motocompresores herméticos con potencia superior a 1/28 CP., pero inferior o igual a 1/22 CP.</t>
  </si>
  <si>
    <t>5 Excepto: Máquinas automáticas para la producción de hielo en cubos, escamas u otras formas; aparatos surtidores de agua caliente y fría (incluso refrigerada o a temperatura ambiente), con o sin gabinete de refrigeración incorporado o depósito (por ejemplo, un botellón), aunque puedan conectarse a una tubería (por ejemplo, despachadores).</t>
  </si>
  <si>
    <t>Ex. Excepto: Máquinas automáticas para la producción de hielo en cubos, escamas u otras formas; aparatos surtidores de agua caliente y fría (incluso refrigerada o a temperatura ambiente), con o sin gabinete de refrigeración incorporado o depósito (por ejemplo, un botellón), aunque puedan conectarse a una tubería (por ejemplo, despachadores).</t>
  </si>
  <si>
    <t>Ex. Excepto: Para albercas.</t>
  </si>
  <si>
    <t>Ex. Únicamente: Depuradores ciclón.</t>
  </si>
  <si>
    <t>Ex. Excepto: Depuradores ciclón; purificadores de aire, sin dispositivos que modifiquen temperatura y/o humedad, reconocibles como diseñados exclusivamente para campanas aspirantes de uso doméstico.</t>
  </si>
  <si>
    <t>Ex. Excepto: Depuradores ciclón; Purificadores de aire, sin dispositivos que modifiquen temperatura y/o humedad, reconocibles como diseñados exclusivamente para campanas aspirantes de uso doméstico.</t>
  </si>
  <si>
    <t>Ex. Excepto: Purificadores de aire, sin dispositivos que modifiquen temperatura y/o humedad, reconocibles como diseñados exclusivamente para campanas aspirantes de uso doméstico.</t>
  </si>
  <si>
    <t>Ex. Excepto: Dosificadores o comprobadoras que funcionen por medio de peso patrón.</t>
  </si>
  <si>
    <t>Ex. Únicamente: Dosificadores o comprobadoras que funcionen por medio de peso patrón.</t>
  </si>
  <si>
    <t>Ex. Excepto: De funcionamiento electrónico.</t>
  </si>
  <si>
    <t>Ex. Excepto:</t>
  </si>
  <si>
    <t>Ex. Excepto: Carros de transferencia (plataforma móvil o cambiador para los recolectores o apiladores de minerales).</t>
  </si>
  <si>
    <t>5 Excepto: Carros de transferencia (plataforma móvil o cambiador para los recolectores o apiladores de minerales).</t>
  </si>
  <si>
    <t>5 Excepto: Brazos de carga marinos o terrestres (garzas marinas o terrestres), reconocibles para la carga o descarga de petróleo o sus derivados en navíos o carros tanque.</t>
  </si>
  <si>
    <t>Ex. Excepto: Brazos de carga marinos o terrestres (garzas marinas o terrestres), reconocibles para la carga o descarga de petróleo o sus derivados en navíos o carros tanque.</t>
  </si>
  <si>
    <t>Ex. Excepto: De uso doméstico.</t>
  </si>
  <si>
    <t xml:space="preserve">Ex </t>
  </si>
  <si>
    <t>Ex. Excepto: De enrollar, curvar, plegar, enderezar o aplanar.</t>
  </si>
  <si>
    <t>Ex. Excepto: de enrollar, curvar, plegar, enderezar o aplanar.</t>
  </si>
  <si>
    <t>Ex. Únicamente: de forjar o estampar.</t>
  </si>
  <si>
    <t>Ex. Únicamente: De forjar o estampar.</t>
  </si>
  <si>
    <t>Ex. Excepto: De enrollar, curvar, plegar, enderezar o aplanar; de cizallar, excepto las combinadas de cizallar y punzonar; combinadas de cizallar y punzonar.</t>
  </si>
  <si>
    <t>Ex. Únicamente: De cizallar y de control numérico, excepto las combinadas de cizallar y punzonar.</t>
  </si>
  <si>
    <t>Ex. Excepto: Quebrantadores y trituradores de dos o más cilindros; quebrantadores de mandíbulas y trituradores de muelas; quebrantadores giratorios de conos, con diámetro de tazón inferior o igual a 1,200 mm; trituradores de navajas.</t>
  </si>
  <si>
    <t>Ex. Excepto: Quebrantadores y trituradores de dos o más cilindros; quebrantadores de mandíbulas y trituradores de muelas; trituradores de martillos, de percusión o de choque; trituradores de navajas.</t>
  </si>
  <si>
    <t>Ex. Excepto: Generadores de potencia superior a 75 kW pero inferior o igual a 375 kW.</t>
  </si>
  <si>
    <t>5 Únicamente: Generadores de potencia inferior o igual a 750 W.</t>
  </si>
  <si>
    <t>5 Únicamente: Generadores de potencia superior a 750 W pero inferior o igual a 75 kW.</t>
  </si>
  <si>
    <t>5 Excepto: Generadores de potencia superior a 75 kW pero inferior o igual a 375 kW.</t>
  </si>
  <si>
    <t>5 Excepto: Con potencia superior a 1,500 kVA pero inferior o igual a 2,000 kVA.</t>
  </si>
  <si>
    <t>Ex. Excepto: Con potencia superior a 1,500 kVA pero inferior o igual a 2,000 kVA.</t>
  </si>
  <si>
    <t>Ex. Excepto: Para instrumentos para medición y/o protección.</t>
  </si>
  <si>
    <t>Ex. Excepto: Del tipo utilizado como fuente de energía para la propulsión de vehículos eléctricos.</t>
  </si>
  <si>
    <t>Ex. Excepto: Aspiradoras, con peso superior a 20 kg, para uso industrial.</t>
  </si>
  <si>
    <t>Ex. Excepto: Estufas.</t>
  </si>
  <si>
    <t>Ex. Excepto: De monedas (alcancía) para servicio público, incluso con avisador.</t>
  </si>
  <si>
    <t>Ex. Excepto: Preamplificadores; para sistemas de televisión por cables; expansor-compresor de volumen, aun cuando se presente con preamplificador de 10 o más entradas.</t>
  </si>
  <si>
    <t>Ex. Únicamente: Aparatos de grabación de sonido, almacenado en soportes de tecnología digital, incluso con dispositivo de reproducción incorporado.</t>
  </si>
  <si>
    <t>Ex. Excepto: Cintas magnéticas grabadas, reconocibles como diseñadas exclusivamente para ser utilizadas en “video tape”, cuando se presenten en cartuchos o casetes.</t>
  </si>
  <si>
    <t>Ex. Excepto: Combinados exclusivamente con un aparato de grabación o reproducción de disco, de video (imagen y sonido) digitalizado, con amplificador incorporado, salidas para altavoces y procesador digital de audio, aun cuando se presenten con sus altavoces.</t>
  </si>
  <si>
    <t>5 Excepto: Detectores electrónicos de humo, de monóxido de carbono, o de calor.</t>
  </si>
  <si>
    <t xml:space="preserve">Ex. Excepto: Detectores electrónicos de humo, de monóxido de carbono, o de calor. </t>
  </si>
  <si>
    <t>3 Excepto: Detectores electrónicos de humo, de monóxido de carbono, o de calor.</t>
  </si>
  <si>
    <t>5 Únicamente: Timbres, campanillas, zumbadores y otros avisadores acústicos.</t>
  </si>
  <si>
    <t>5 Excepto: Timbres, campanillas, zumbadores y otros avisadores acústicos.</t>
  </si>
  <si>
    <t>Ex. Excepto: Lámparas equipadas con baterías, clavijas e interruptores; candiles; de hierro o acero; lámparas eléctricas de pie.</t>
  </si>
  <si>
    <t>Ex. Excepto: De aluminio o sus aleaciones, con aislamiento a base de cualquier esmalte, con diámetro del conductor inferior o igual a 0.361 mm.</t>
  </si>
  <si>
    <t>Ex. Excepto: Arneses reconocibles como diseñados exclusivamente para uso automotriz.</t>
  </si>
  <si>
    <t>Ex. Únicamente: De cobre, aluminio o sus aleaciones,</t>
  </si>
  <si>
    <t>Ex. Excepto: Formas de cables cortados y atados (arneses), para la conexión de centrales telefónicas; cables termopar o sus cables de extensión; arneses y cables eléctricos, para conducción o distribución de corriente eléctrica en aparatos electrodomésticos o de medición; de cobre, aluminio o sus aleaciones.</t>
  </si>
  <si>
    <t>Ex. Excepto: Arneses eléctricos, para conducción o distribución de corriente eléctrica en aparatos electrodomésticos o de medición.</t>
  </si>
  <si>
    <t>Ex. Excepto: Para chasis para vehículos de la partida 87.03 o de las subpartidas 8704.21 y 8704.31.</t>
  </si>
  <si>
    <t>3 Únicamente: Fundas para ejes traseros; flechas semiejes, acoplables al mecanismo diferencial, incluso las de velocidad constante (homocinéticas) y sus partes componentes; juntas universales, tipo cardán para cruceta; ejes cardánicos.</t>
  </si>
  <si>
    <t>Ex. Excepto: Remolques o semirremolques tipo plataforma con o sin redilas, incluso los reconocibles para el transporte de cajas o rejas de latas o botellas o portacontenedores, o camas bajas, excepto con suspensión hidráulica o neumática y cuello de ganso abatible; remolques o semirremolques tipo madrinas o nodrizas, para el transporte de vehículos; semirremolques tipo cama baja, con suspensión hidráulica o neumática y cuello de ganso abatible; remolques y semirremolques tipo cajas cerradas, incluso refrigeradas; remolques o semirremolques tipo tanques de acero, incluso criogénicos o tolvas.</t>
  </si>
  <si>
    <t>Ex. Excepto: Carretillas de accionamiento hidráulico.</t>
  </si>
  <si>
    <t>Ex. Excepto: Máquinas para dibujar o escuadras universales, aun cuando se presenten con su tablero de dibujo.</t>
  </si>
  <si>
    <t>Ex. Excepto: Cintas métricas.</t>
  </si>
  <si>
    <t>Ex. Excepto: Para estufas y caloríficos.</t>
  </si>
  <si>
    <t>Ex. Excepto: Colchonetas.</t>
  </si>
  <si>
    <t>Ex. Excepto: Almohadas y cojines; edredones.</t>
  </si>
  <si>
    <t>Ex. Excepto: Lámparas equipadas con baterías, clavijas e interruptores; candiles; de hierro o acero.</t>
  </si>
  <si>
    <t>Ex. Excepto: Lámparas eléctricas de pie.</t>
  </si>
  <si>
    <t>Ex. Excepto: Partes de oro y partes de plata.</t>
  </si>
  <si>
    <t>Transporte, Excepto el Sector Automotriz y de Autopartes (a)</t>
  </si>
  <si>
    <t>Transporte, Excepto el Sector Automotriz y de Autopartes (b)</t>
  </si>
  <si>
    <t>Muebles</t>
  </si>
  <si>
    <t>Juguetes, Juegos de Recreo y Artículos Deportivos</t>
  </si>
  <si>
    <t>MATRIZ FRACCIÓN ARANCELARIA - SECTOR INDUSTRIAL, ARTÍCULO 5 DEL DECRETO PROSEC
Las fracciones incluidas en una industria se identifican por medio del arancel aplicable en la columna correspondiente</t>
  </si>
  <si>
    <t>9
Únicamente: Con un índice de viscosidad superior o igual a 40 ml/g, pero inferior a 70 ml/g.</t>
  </si>
  <si>
    <t>Dirección General de Facilitación Comercial y de Comercio Exterior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</si>
</sst>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9"/>
      <color theme="0"/>
      <name val="Montserrat"/>
    </font>
    <font>
      <sz val="9"/>
      <color theme="1"/>
      <name val="Montserrat"/>
    </font>
    <font>
      <sz val="9"/>
      <color indexed="8"/>
      <name val="Montserrat"/>
    </font>
    <font>
      <sz val="9"/>
      <name val="Montserrat"/>
    </font>
    <font>
      <sz val="11"/>
      <color theme="1"/>
      <name val="Montserrat"/>
    </font>
    <font>
      <b/>
      <sz val="16"/>
      <color theme="1"/>
      <name val="Montserrat"/>
    </font>
    <font>
      <u/>
      <sz val="11"/>
      <color theme="10"/>
      <name val="Calibri"/>
      <family val="2"/>
      <scheme val="minor"/>
    </font>
    <font>
      <b/>
      <u/>
      <sz val="16"/>
      <color theme="10"/>
      <name val="Montserrat"/>
    </font>
    <font>
      <b/>
      <sz val="11"/>
      <color theme="1"/>
      <name val="Montserrat"/>
    </font>
    <font>
      <b/>
      <sz val="10"/>
      <color theme="1"/>
      <name val="Montserrat"/>
    </font>
    <font>
      <b/>
      <u/>
      <sz val="9"/>
      <color theme="10"/>
      <name val="Montserrat"/>
    </font>
    <font>
      <sz val="9"/>
      <color rgb="FF000000"/>
      <name val="Montserrat"/>
    </font>
  </fonts>
  <fills count="5">
    <fill>
      <patternFill patternType="none"/>
    </fill>
    <fill>
      <patternFill patternType="gray125"/>
    </fill>
    <fill>
      <patternFill patternType="solid">
        <fgColor rgb="FFC00000"/>
        <bgColor indexed="9"/>
      </patternFill>
    </fill>
    <fill>
      <patternFill patternType="solid">
        <fgColor rgb="FFC00000"/>
        <bgColor indexed="64"/>
      </patternFill>
    </fill>
    <fill>
      <patternFill patternType="solid">
        <fgColor theme="0"/>
        <bgColor indexed="64"/>
      </patternFill>
    </fill>
  </fills>
  <borders count="21">
    <border>
      <left/>
      <right/>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36">
    <xf numFmtId="0" fontId="0" fillId="0" borderId="0" xfId="0"/>
    <xf numFmtId="0" fontId="1" fillId="3" borderId="3" xfId="0" applyFont="1" applyFill="1" applyBorder="1" applyAlignment="1">
      <alignment horizontal="center" vertical="center" textRotation="90" wrapText="1"/>
    </xf>
    <xf numFmtId="0" fontId="2" fillId="0" borderId="0" xfId="0" applyFont="1" applyAlignment="1">
      <alignment horizontal="center" vertical="center"/>
    </xf>
    <xf numFmtId="0" fontId="2" fillId="0" borderId="0" xfId="0" applyFont="1"/>
    <xf numFmtId="0" fontId="1" fillId="2" borderId="4" xfId="0" applyFont="1" applyFill="1" applyBorder="1" applyAlignment="1">
      <alignment horizontal="center" vertical="center" wrapText="1"/>
    </xf>
    <xf numFmtId="0" fontId="5" fillId="0" borderId="0" xfId="0" applyFont="1" applyAlignment="1">
      <alignment horizontal="center" vertical="center" wrapText="1"/>
    </xf>
    <xf numFmtId="0" fontId="6" fillId="4" borderId="0" xfId="0" quotePrefix="1" applyFont="1" applyFill="1" applyAlignment="1">
      <alignment horizontal="center" vertical="center" wrapText="1"/>
    </xf>
    <xf numFmtId="0" fontId="8" fillId="4" borderId="0" xfId="1" applyFont="1" applyFill="1" applyAlignment="1">
      <alignment horizontal="center" vertical="center" wrapText="1"/>
    </xf>
    <xf numFmtId="2" fontId="2" fillId="4" borderId="12" xfId="0" applyNumberFormat="1" applyFont="1" applyFill="1" applyBorder="1" applyAlignment="1">
      <alignment horizontal="center" vertical="center" wrapText="1"/>
    </xf>
    <xf numFmtId="2" fontId="2" fillId="4" borderId="13" xfId="0" applyNumberFormat="1" applyFont="1" applyFill="1" applyBorder="1" applyAlignment="1">
      <alignment horizontal="center" vertical="center" wrapText="1"/>
    </xf>
    <xf numFmtId="2" fontId="4" fillId="4" borderId="13" xfId="0" applyNumberFormat="1"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1" xfId="0" applyFont="1" applyBorder="1" applyAlignment="1">
      <alignment horizontal="center" vertical="center" wrapText="1"/>
    </xf>
    <xf numFmtId="2" fontId="3" fillId="4" borderId="13" xfId="0" applyNumberFormat="1" applyFont="1" applyFill="1" applyBorder="1" applyAlignment="1">
      <alignment horizontal="center" vertical="center" wrapText="1"/>
    </xf>
    <xf numFmtId="2" fontId="4" fillId="4" borderId="13" xfId="0" quotePrefix="1" applyNumberFormat="1" applyFont="1" applyFill="1" applyBorder="1" applyAlignment="1">
      <alignment horizontal="center" vertical="center" wrapText="1"/>
    </xf>
    <xf numFmtId="2" fontId="4" fillId="4" borderId="14" xfId="0" applyNumberFormat="1"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0" borderId="0" xfId="0" applyAlignment="1">
      <alignment horizontal="center" vertical="center"/>
    </xf>
    <xf numFmtId="0" fontId="10" fillId="4" borderId="0" xfId="0" quotePrefix="1" applyFont="1" applyFill="1" applyAlignment="1">
      <alignment horizontal="center" vertical="center"/>
    </xf>
    <xf numFmtId="0" fontId="11" fillId="4" borderId="0" xfId="1" applyFont="1" applyFill="1" applyAlignment="1">
      <alignment horizontal="center" vertical="center" wrapText="1"/>
    </xf>
    <xf numFmtId="0" fontId="12" fillId="0" borderId="0" xfId="0" applyFont="1" applyAlignment="1">
      <alignment horizontal="center" vertical="center"/>
    </xf>
    <xf numFmtId="0" fontId="9" fillId="0" borderId="0" xfId="0" applyFont="1" applyAlignment="1">
      <alignment horizont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0" fillId="0" borderId="0" xfId="0" applyFont="1" applyAlignment="1">
      <alignment horizontal="center" vertical="center" wrapText="1"/>
    </xf>
    <xf numFmtId="0" fontId="10" fillId="0" borderId="20"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625440</xdr:colOff>
      <xdr:row>1</xdr:row>
      <xdr:rowOff>161924</xdr:rowOff>
    </xdr:from>
    <xdr:to>
      <xdr:col>2</xdr:col>
      <xdr:colOff>2060370</xdr:colOff>
      <xdr:row>6</xdr:row>
      <xdr:rowOff>104774</xdr:rowOff>
    </xdr:to>
    <xdr:pic>
      <xdr:nvPicPr>
        <xdr:cNvPr id="9" name="Imagen 8"/>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793"/>
        <a:stretch/>
      </xdr:blipFill>
      <xdr:spPr>
        <a:xfrm>
          <a:off x="625440" y="352424"/>
          <a:ext cx="2958930" cy="790575"/>
        </a:xfrm>
        <a:prstGeom prst="rect">
          <a:avLst/>
        </a:prstGeom>
      </xdr:spPr>
    </xdr:pic>
    <xdr:clientData/>
  </xdr:twoCellAnchor>
  <xdr:twoCellAnchor editAs="oneCell">
    <xdr:from>
      <xdr:col>13</xdr:col>
      <xdr:colOff>76200</xdr:colOff>
      <xdr:row>0</xdr:row>
      <xdr:rowOff>47626</xdr:rowOff>
    </xdr:from>
    <xdr:to>
      <xdr:col>15</xdr:col>
      <xdr:colOff>456844</xdr:colOff>
      <xdr:row>6</xdr:row>
      <xdr:rowOff>330348</xdr:rowOff>
    </xdr:to>
    <xdr:pic>
      <xdr:nvPicPr>
        <xdr:cNvPr id="2" name="Imagen 1"/>
        <xdr:cNvPicPr>
          <a:picLocks noChangeAspect="1"/>
        </xdr:cNvPicPr>
      </xdr:nvPicPr>
      <xdr:blipFill>
        <a:blip xmlns:r="http://schemas.openxmlformats.org/officeDocument/2006/relationships" r:embed="rId2"/>
        <a:stretch>
          <a:fillRect/>
        </a:stretch>
      </xdr:blipFill>
      <xdr:spPr>
        <a:xfrm>
          <a:off x="12411075" y="47626"/>
          <a:ext cx="2438044" cy="13209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ennifer.oivera/Documents/7ma/PROSEC/PROSECART5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SEC preliminar FEB 2022"/>
      <sheetName val="Base"/>
      <sheetName val="Hoja1"/>
      <sheetName val="ART 1"/>
      <sheetName val="ART 2 A)"/>
      <sheetName val="ART 2 B)"/>
      <sheetName val="ART 3"/>
      <sheetName val="ART IV"/>
      <sheetName val="ART 5"/>
      <sheetName val="ART 6"/>
      <sheetName val="ART 7"/>
      <sheetName val="ART 8"/>
      <sheetName val="ART 9"/>
      <sheetName val="ART 10"/>
      <sheetName val="ART 11"/>
      <sheetName val="ART 12"/>
      <sheetName val="ART 13"/>
      <sheetName val="ART 14"/>
      <sheetName val="ART 15 A"/>
      <sheetName val="ART 15 B"/>
      <sheetName val="ART 16"/>
      <sheetName val="ART 17"/>
      <sheetName val="ART 18"/>
      <sheetName val="ART 19"/>
      <sheetName val="ART 20 A"/>
      <sheetName val="ART 20 B"/>
      <sheetName val="ART 20 C"/>
      <sheetName val="ART 21"/>
      <sheetName val="ART 22"/>
      <sheetName val="ART 23 A"/>
    </sheetNames>
    <sheetDataSet>
      <sheetData sheetId="0"/>
      <sheetData sheetId="1"/>
      <sheetData sheetId="2"/>
      <sheetData sheetId="3">
        <row r="1">
          <cell r="A1" t="str">
            <v>CÓDIGO</v>
          </cell>
          <cell r="B1" t="str">
            <v>DESCRIPCIÓN</v>
          </cell>
          <cell r="C1" t="str">
            <v>ARANCEL</v>
          </cell>
          <cell r="D1" t="str">
            <v>ACOTACIÓN</v>
          </cell>
          <cell r="E1" t="str">
            <v>EX/ACO</v>
          </cell>
        </row>
        <row r="2">
          <cell r="C2" t="str">
            <v>(%)</v>
          </cell>
        </row>
        <row r="3">
          <cell r="A3" t="str">
            <v>2519.90.01</v>
          </cell>
          <cell r="B3" t="str">
            <v>Óxido de magnesio, excepto la magnesia electrofundida y la magnesia calcinada a muerte (sinterizada).</v>
          </cell>
          <cell r="C3">
            <v>5</v>
          </cell>
          <cell r="E3" t="str">
            <v>5</v>
          </cell>
        </row>
        <row r="4">
          <cell r="A4" t="str">
            <v>2528.00.99</v>
          </cell>
          <cell r="B4" t="str">
            <v>Los demás.</v>
          </cell>
          <cell r="C4">
            <v>5</v>
          </cell>
          <cell r="E4" t="str">
            <v>5</v>
          </cell>
        </row>
        <row r="5">
          <cell r="A5" t="str">
            <v>2710.19.02</v>
          </cell>
          <cell r="B5" t="str">
            <v>Aceites de engrase o preparaciones lubricantes a base de aceites minerales derivados del petróleo, con aditivos (aceites lubricantes terminados).</v>
          </cell>
          <cell r="C5" t="str">
            <v>Ex.</v>
          </cell>
          <cell r="E5" t="str">
            <v>Ex.</v>
          </cell>
        </row>
        <row r="6">
          <cell r="A6" t="str">
            <v>2827.59.99</v>
          </cell>
          <cell r="B6" t="str">
            <v>Los demás.</v>
          </cell>
          <cell r="C6" t="str">
            <v>Ex.</v>
          </cell>
          <cell r="E6" t="str">
            <v>Ex.</v>
          </cell>
        </row>
        <row r="7">
          <cell r="A7" t="str">
            <v>2834.29.99</v>
          </cell>
          <cell r="B7" t="str">
            <v>Los demás.</v>
          </cell>
          <cell r="C7" t="str">
            <v>Ex.</v>
          </cell>
          <cell r="E7" t="str">
            <v>Ex.</v>
          </cell>
        </row>
        <row r="8">
          <cell r="A8" t="str">
            <v>3204.20.99</v>
          </cell>
          <cell r="B8" t="str">
            <v>Los demás.</v>
          </cell>
          <cell r="C8" t="str">
            <v>Ex.</v>
          </cell>
          <cell r="E8" t="str">
            <v>Ex.</v>
          </cell>
        </row>
        <row r="9">
          <cell r="A9" t="str">
            <v>3402.42.99</v>
          </cell>
          <cell r="B9" t="str">
            <v>Los demás.</v>
          </cell>
          <cell r="C9">
            <v>5</v>
          </cell>
          <cell r="E9" t="str">
            <v>5</v>
          </cell>
        </row>
        <row r="10">
          <cell r="A10" t="str">
            <v>3405.90.99</v>
          </cell>
          <cell r="B10" t="str">
            <v>Las demás.</v>
          </cell>
          <cell r="C10" t="str">
            <v>Ex.</v>
          </cell>
          <cell r="E10" t="str">
            <v>Ex.</v>
          </cell>
        </row>
        <row r="11">
          <cell r="A11" t="str">
            <v>3506.91.99</v>
          </cell>
          <cell r="B11" t="str">
            <v>Los demás.</v>
          </cell>
          <cell r="C11" t="str">
            <v>Ex.</v>
          </cell>
          <cell r="D11" t="str">
            <v>Únicamente: Adhesivos a base de resinas de poliuretano, del tipo poliol, poliéster o poliéter modificados con isocianatos, con o sin cargas y pigmentos.</v>
          </cell>
          <cell r="E11" t="str">
            <v>Ex.Únicamente: Adhesivos a base de resinas de poliuretano, del tipo poliol, poliéster o poliéter modificados con isocianatos, con o sin cargas y pigmentos.</v>
          </cell>
        </row>
        <row r="12">
          <cell r="A12" t="str">
            <v>3814.00.01</v>
          </cell>
          <cell r="B12" t="str">
            <v>Disolventes y diluyentes orgánicos compuestos, no expresados ni comprendidos en otra parte; preparaciones para quitar pinturas o barnices.</v>
          </cell>
          <cell r="C12" t="str">
            <v>Ex.</v>
          </cell>
          <cell r="E12" t="str">
            <v>Ex.</v>
          </cell>
        </row>
        <row r="13">
          <cell r="A13" t="str">
            <v>3819.00.99</v>
          </cell>
          <cell r="B13" t="str">
            <v>Los demás.</v>
          </cell>
          <cell r="C13">
            <v>5</v>
          </cell>
          <cell r="E13" t="str">
            <v>5</v>
          </cell>
        </row>
        <row r="14">
          <cell r="A14" t="str">
            <v>3902.90.99</v>
          </cell>
          <cell r="B14" t="str">
            <v>Los demás.</v>
          </cell>
          <cell r="C14" t="str">
            <v>Ex.</v>
          </cell>
          <cell r="E14" t="str">
            <v>Ex.</v>
          </cell>
        </row>
        <row r="15">
          <cell r="A15" t="str">
            <v>3904.10.02</v>
          </cell>
          <cell r="B15" t="str">
            <v>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v>
          </cell>
          <cell r="C15" t="str">
            <v>Ex.</v>
          </cell>
          <cell r="E15" t="str">
            <v>Ex.</v>
          </cell>
        </row>
        <row r="16">
          <cell r="A16" t="str">
            <v>3906.90.09</v>
          </cell>
          <cell r="B16" t="str">
            <v>Copolímero de metacrilato de metilo-acrilato de etilo, en polvo.</v>
          </cell>
          <cell r="C16" t="str">
            <v>Ex.</v>
          </cell>
          <cell r="E16" t="str">
            <v>Ex.</v>
          </cell>
        </row>
        <row r="17">
          <cell r="A17" t="str">
            <v>3907.30.02</v>
          </cell>
          <cell r="B17" t="str">
            <v>Resinas epóxidas tipo etoxilinas cicloalifaticas o novolacas.</v>
          </cell>
          <cell r="C17" t="str">
            <v>Ex.</v>
          </cell>
          <cell r="E17" t="str">
            <v>Ex.</v>
          </cell>
        </row>
        <row r="18">
          <cell r="A18" t="str">
            <v>3907.30.99</v>
          </cell>
          <cell r="B18" t="str">
            <v>Los demás.</v>
          </cell>
          <cell r="C18" t="str">
            <v>Ex.</v>
          </cell>
          <cell r="D18" t="str">
            <v>Excepto: Resinas epóxidas.</v>
          </cell>
          <cell r="E18" t="str">
            <v>Ex.Excepto: Resinas epóxidas.</v>
          </cell>
        </row>
        <row r="19">
          <cell r="A19" t="str">
            <v>3907.50.99</v>
          </cell>
          <cell r="B19" t="str">
            <v>Los demás.</v>
          </cell>
          <cell r="C19" t="str">
            <v>Ex.</v>
          </cell>
          <cell r="E19" t="str">
            <v>Ex.</v>
          </cell>
        </row>
        <row r="20">
          <cell r="A20" t="str">
            <v>3907.91.99</v>
          </cell>
          <cell r="B20" t="str">
            <v>Los demás.</v>
          </cell>
          <cell r="C20" t="str">
            <v>Ex.</v>
          </cell>
          <cell r="E20" t="str">
            <v>Ex.</v>
          </cell>
        </row>
        <row r="21">
          <cell r="A21" t="str">
            <v>3908.10.05</v>
          </cell>
          <cell r="B21" t="str">
            <v>Poliamidas o superpoliamidas, excepto lo comprendido en las fracciones arancelarias 3908.10.01 a la 3908.10.04, 3908.10.06, 3908.10.07 y 3908.10.08.</v>
          </cell>
          <cell r="C21" t="str">
            <v>Ex.</v>
          </cell>
          <cell r="E21" t="str">
            <v>Ex.</v>
          </cell>
        </row>
        <row r="22">
          <cell r="A22" t="str">
            <v>3909.50.99</v>
          </cell>
          <cell r="B22" t="str">
            <v>Los demás.</v>
          </cell>
          <cell r="C22" t="str">
            <v>Ex.</v>
          </cell>
          <cell r="D22" t="str">
            <v>Únicamente: Poliuretanos, sin pigmentos, cargas o modificantes, excepto en forma líquida o pastosa, incluidas las emulsiones, dispersiones y soluciones.</v>
          </cell>
          <cell r="E22" t="str">
            <v>Ex.Únicamente: Poliuretanos, sin pigmentos, cargas o modificantes, excepto en forma líquida o pastosa, incluidas las emulsiones, dispersiones y soluciones.</v>
          </cell>
        </row>
        <row r="23">
          <cell r="A23" t="str">
            <v>3910.00.01</v>
          </cell>
          <cell r="B23" t="str">
            <v>Resinas de silicona ("potting compound") para empleo electrónico.</v>
          </cell>
          <cell r="C23" t="str">
            <v>Ex.</v>
          </cell>
          <cell r="E23" t="str">
            <v>Ex.</v>
          </cell>
        </row>
        <row r="24">
          <cell r="A24" t="str">
            <v>3914.00.01</v>
          </cell>
          <cell r="B24" t="str">
            <v>Intercambiadores de iones, del tipo catiónico.</v>
          </cell>
          <cell r="C24" t="str">
            <v>Ex.</v>
          </cell>
          <cell r="E24" t="str">
            <v>Ex.</v>
          </cell>
        </row>
        <row r="25">
          <cell r="A25" t="str">
            <v>3915.20.01</v>
          </cell>
          <cell r="B25" t="str">
            <v>De polímeros de estireno.</v>
          </cell>
          <cell r="C25" t="str">
            <v>Ex.</v>
          </cell>
          <cell r="E25" t="str">
            <v>Ex.</v>
          </cell>
        </row>
        <row r="26">
          <cell r="A26" t="str">
            <v>3915.90.99</v>
          </cell>
          <cell r="B26" t="str">
            <v>Los demás.</v>
          </cell>
          <cell r="C26" t="str">
            <v>Ex.</v>
          </cell>
          <cell r="D26" t="str">
            <v>Excepto: Desechos, desperdicios y recortes de poli (tereftalato de etileno) (PET).</v>
          </cell>
          <cell r="E26" t="str">
            <v>Ex.Excepto: Desechos, desperdicios y recortes de poli (tereftalato de etileno) (PET).</v>
          </cell>
        </row>
        <row r="27">
          <cell r="A27" t="str">
            <v>3917.33.01</v>
          </cell>
          <cell r="B27" t="str">
            <v>Tubería de materias plásticas artificiales, hasta de 20 mm de diámetro exterior, con goteras integradas, para riego agrícola.</v>
          </cell>
          <cell r="C27">
            <v>5</v>
          </cell>
          <cell r="E27" t="str">
            <v>5</v>
          </cell>
        </row>
        <row r="28">
          <cell r="A28" t="str">
            <v>3917.33.99</v>
          </cell>
          <cell r="B28" t="str">
            <v>Los demás.</v>
          </cell>
          <cell r="C28">
            <v>5</v>
          </cell>
          <cell r="E28" t="str">
            <v>5</v>
          </cell>
        </row>
        <row r="29">
          <cell r="A29" t="str">
            <v>3921.11.01</v>
          </cell>
          <cell r="B29" t="str">
            <v>De polímeros de estireno.</v>
          </cell>
          <cell r="C29">
            <v>5</v>
          </cell>
          <cell r="E29" t="str">
            <v>5</v>
          </cell>
        </row>
        <row r="30">
          <cell r="A30" t="str">
            <v>3923.30.02</v>
          </cell>
          <cell r="B30" t="str">
            <v>Bombonas (damajuanas), botellas, frascos y artículos similares.</v>
          </cell>
          <cell r="C30">
            <v>5</v>
          </cell>
          <cell r="E30" t="str">
            <v>5</v>
          </cell>
        </row>
        <row r="31">
          <cell r="A31" t="str">
            <v>3923.40.99</v>
          </cell>
          <cell r="B31" t="str">
            <v>Los demás.</v>
          </cell>
          <cell r="C31">
            <v>2.5</v>
          </cell>
          <cell r="E31" t="str">
            <v>2.5</v>
          </cell>
        </row>
        <row r="32">
          <cell r="A32" t="str">
            <v>3923.50.01</v>
          </cell>
          <cell r="B32" t="str">
            <v>Tapones, tapas, cápsulas y demás dispositivos de cierre.</v>
          </cell>
          <cell r="C32">
            <v>5</v>
          </cell>
          <cell r="E32" t="str">
            <v>5</v>
          </cell>
        </row>
        <row r="33">
          <cell r="A33" t="str">
            <v>3923.90.99</v>
          </cell>
          <cell r="B33" t="str">
            <v>Los demás.</v>
          </cell>
          <cell r="C33">
            <v>5</v>
          </cell>
          <cell r="E33" t="str">
            <v>5</v>
          </cell>
        </row>
        <row r="34">
          <cell r="A34" t="str">
            <v>3925.90.99</v>
          </cell>
          <cell r="B34" t="str">
            <v>Los demás.</v>
          </cell>
          <cell r="C34">
            <v>5</v>
          </cell>
          <cell r="E34" t="str">
            <v>5</v>
          </cell>
        </row>
        <row r="35">
          <cell r="A35" t="str">
            <v>3926.10.01</v>
          </cell>
          <cell r="B35" t="str">
            <v>Artículos de oficina y artículos escolares.</v>
          </cell>
          <cell r="C35">
            <v>5</v>
          </cell>
          <cell r="E35" t="str">
            <v>5</v>
          </cell>
        </row>
        <row r="36">
          <cell r="A36" t="str">
            <v>3926.30.02</v>
          </cell>
          <cell r="B36" t="str">
            <v>Guarniciones para muebles, carrocerías o similares.</v>
          </cell>
          <cell r="C36">
            <v>5</v>
          </cell>
          <cell r="D36" t="str">
            <v>Excepto: Molduras para carrocerías.</v>
          </cell>
          <cell r="E36" t="str">
            <v>5Excepto: Molduras para carrocerías.</v>
          </cell>
        </row>
        <row r="37">
          <cell r="A37" t="str">
            <v>3926.90.01</v>
          </cell>
          <cell r="B37" t="str">
            <v>Mangos para herramientas de mano.</v>
          </cell>
          <cell r="C37">
            <v>5</v>
          </cell>
          <cell r="E37" t="str">
            <v>5</v>
          </cell>
        </row>
        <row r="38">
          <cell r="A38" t="str">
            <v>3926.90.07</v>
          </cell>
          <cell r="B38" t="str">
            <v>Modelos o patrones.</v>
          </cell>
          <cell r="C38">
            <v>5</v>
          </cell>
          <cell r="E38" t="str">
            <v>5</v>
          </cell>
        </row>
        <row r="39">
          <cell r="A39" t="str">
            <v>3926.90.11</v>
          </cell>
          <cell r="B39" t="str">
            <v>Protectores para el sentido auditivo.</v>
          </cell>
          <cell r="C39">
            <v>5</v>
          </cell>
          <cell r="E39" t="str">
            <v>5</v>
          </cell>
        </row>
        <row r="40">
          <cell r="A40" t="str">
            <v>3926.90.13</v>
          </cell>
          <cell r="B40" t="str">
            <v>Letras, números o signos.</v>
          </cell>
          <cell r="C40">
            <v>5</v>
          </cell>
          <cell r="E40" t="str">
            <v>5</v>
          </cell>
        </row>
        <row r="41">
          <cell r="A41" t="str">
            <v>3926.90.14</v>
          </cell>
          <cell r="B41" t="str">
            <v>Cinchos fijadores o abrazaderas, excepto lo reconocible como diseñados exclusivamente para uso automotriz.</v>
          </cell>
          <cell r="C41">
            <v>5</v>
          </cell>
          <cell r="E41" t="str">
            <v>5</v>
          </cell>
        </row>
        <row r="42">
          <cell r="A42" t="str">
            <v>3926.90.18</v>
          </cell>
          <cell r="B42" t="str">
            <v>Marcas para asfalto, postes reflejantes y/o dispositivos de advertencia (triángulos de seguridad), de resina plástica, para la señalización vial.</v>
          </cell>
          <cell r="C42">
            <v>5</v>
          </cell>
          <cell r="E42" t="str">
            <v>5</v>
          </cell>
        </row>
        <row r="43">
          <cell r="A43" t="str">
            <v>3926.90.19</v>
          </cell>
          <cell r="B43" t="str">
            <v>Abanicos o sus partes.</v>
          </cell>
          <cell r="C43">
            <v>5</v>
          </cell>
          <cell r="E43" t="str">
            <v>5</v>
          </cell>
        </row>
        <row r="44">
          <cell r="A44" t="str">
            <v>3926.90.20</v>
          </cell>
          <cell r="B44" t="str">
            <v>Emblemas, para vehículos automóviles.</v>
          </cell>
          <cell r="C44">
            <v>5</v>
          </cell>
          <cell r="E44" t="str">
            <v>5</v>
          </cell>
        </row>
        <row r="45">
          <cell r="A45" t="str">
            <v>3926.90.24</v>
          </cell>
          <cell r="B45" t="str">
            <v>Diablos o tacos (pigs) de poliuretanos con diámetro hasta de 122 cm, para la limpieza interior de tuberías, aun cuando estén recubiertos con banda de caucho, con incrustaciones de carburo de tungsteno o cerdas de acero.</v>
          </cell>
          <cell r="C45">
            <v>5</v>
          </cell>
          <cell r="E45" t="str">
            <v>5</v>
          </cell>
        </row>
        <row r="46">
          <cell r="A46" t="str">
            <v>3926.90.27</v>
          </cell>
          <cell r="B46" t="str">
            <v>Láminas perforadas o troqueladas de poli(etileno) y/o poli(propileno), aun cuando estén coloreadas, metalizadas o laqueadas.</v>
          </cell>
          <cell r="C46">
            <v>5</v>
          </cell>
          <cell r="E46" t="str">
            <v>5</v>
          </cell>
        </row>
        <row r="47">
          <cell r="A47" t="str">
            <v>3926.90.29</v>
          </cell>
          <cell r="B47" t="str">
            <v>Embudos.</v>
          </cell>
          <cell r="C47">
            <v>5</v>
          </cell>
          <cell r="E47" t="str">
            <v>5</v>
          </cell>
        </row>
        <row r="48">
          <cell r="A48" t="str">
            <v>4002.11.99</v>
          </cell>
          <cell r="B48" t="str">
            <v>Los demás.</v>
          </cell>
          <cell r="C48">
            <v>5</v>
          </cell>
          <cell r="D48" t="str">
            <v>Excepto: De poli(butadieno-estireno) incluso modificados con ácidos carboxílicos, así como los prevulcanizados.</v>
          </cell>
          <cell r="E48" t="str">
            <v>5Excepto: De poli(butadieno-estireno) incluso modificados con ácidos carboxílicos, así como los prevulcanizados.</v>
          </cell>
        </row>
        <row r="49">
          <cell r="A49" t="str">
            <v>4006.90.02</v>
          </cell>
          <cell r="B49" t="str">
            <v>Parches.</v>
          </cell>
          <cell r="C49">
            <v>5</v>
          </cell>
          <cell r="E49" t="str">
            <v>5</v>
          </cell>
        </row>
        <row r="50">
          <cell r="A50" t="str">
            <v>4006.90.99</v>
          </cell>
          <cell r="B50" t="str">
            <v>Los demás.</v>
          </cell>
          <cell r="C50">
            <v>5</v>
          </cell>
          <cell r="E50" t="str">
            <v>5</v>
          </cell>
        </row>
        <row r="51">
          <cell r="A51" t="str">
            <v>4015.12.99</v>
          </cell>
          <cell r="B51" t="str">
            <v>Los demás.</v>
          </cell>
          <cell r="C51">
            <v>5</v>
          </cell>
          <cell r="E51" t="str">
            <v>5</v>
          </cell>
        </row>
        <row r="52">
          <cell r="A52" t="str">
            <v>4015.19.99</v>
          </cell>
          <cell r="B52" t="str">
            <v>Los demás.</v>
          </cell>
          <cell r="C52">
            <v>5</v>
          </cell>
          <cell r="E52" t="str">
            <v>5</v>
          </cell>
        </row>
        <row r="53">
          <cell r="A53" t="str">
            <v>4016.91.01</v>
          </cell>
          <cell r="B53" t="str">
            <v>Revestimientos para el suelo y alfombras.</v>
          </cell>
          <cell r="C53">
            <v>5</v>
          </cell>
          <cell r="E53" t="str">
            <v>5</v>
          </cell>
        </row>
        <row r="54">
          <cell r="A54" t="str">
            <v>4415.20.02</v>
          </cell>
          <cell r="B54" t="str">
            <v>Paletas, paletas caja y demás plataformas para carga; collarines para paletas.</v>
          </cell>
          <cell r="C54">
            <v>5</v>
          </cell>
          <cell r="D54" t="str">
            <v>Excepto: Collarines para paletas.</v>
          </cell>
          <cell r="E54" t="str">
            <v>5Excepto: Collarines para paletas.</v>
          </cell>
        </row>
        <row r="55">
          <cell r="A55" t="str">
            <v>4421.91.99</v>
          </cell>
          <cell r="B55" t="str">
            <v>Los demás.</v>
          </cell>
          <cell r="C55">
            <v>5</v>
          </cell>
          <cell r="D55" t="str">
            <v>Excepto: Adoquines.</v>
          </cell>
          <cell r="E55" t="str">
            <v>5Excepto: Adoquines.</v>
          </cell>
        </row>
        <row r="56">
          <cell r="A56" t="str">
            <v>4421.99.99</v>
          </cell>
          <cell r="B56" t="str">
            <v>Las demás.</v>
          </cell>
          <cell r="C56">
            <v>5</v>
          </cell>
          <cell r="D56" t="str">
            <v>Excepto: Adoquines.</v>
          </cell>
          <cell r="E56" t="str">
            <v>5Excepto: Adoquines.</v>
          </cell>
        </row>
        <row r="57">
          <cell r="A57" t="str">
            <v>6702.10.01</v>
          </cell>
          <cell r="B57" t="str">
            <v>De plástico.</v>
          </cell>
          <cell r="C57">
            <v>5</v>
          </cell>
          <cell r="E57" t="str">
            <v>5</v>
          </cell>
        </row>
        <row r="58">
          <cell r="A58" t="str">
            <v>6804.30.01</v>
          </cell>
          <cell r="B58" t="str">
            <v>Piedras de afilar o pulir a mano.</v>
          </cell>
          <cell r="C58">
            <v>5</v>
          </cell>
          <cell r="E58" t="str">
            <v>5</v>
          </cell>
        </row>
        <row r="59">
          <cell r="A59" t="str">
            <v>6913.90.99</v>
          </cell>
          <cell r="B59" t="str">
            <v>Los demás.</v>
          </cell>
          <cell r="C59">
            <v>5</v>
          </cell>
          <cell r="E59" t="str">
            <v>5</v>
          </cell>
        </row>
        <row r="60">
          <cell r="A60" t="str">
            <v>6914.90.99</v>
          </cell>
          <cell r="B60" t="str">
            <v>Las demás.</v>
          </cell>
          <cell r="C60">
            <v>5</v>
          </cell>
          <cell r="E60" t="str">
            <v>5</v>
          </cell>
        </row>
        <row r="61">
          <cell r="A61" t="str">
            <v>7006.00.04</v>
          </cell>
          <cell r="B61" t="str">
            <v>Vidrio de las partidas 70.03, 70.04 o 70.05, curvado, biselado, grabado, taladrado, esmaltado o trabajado de otro modo, pero sin enmarcar ni combinar con otras materias.</v>
          </cell>
          <cell r="C61">
            <v>5</v>
          </cell>
          <cell r="D61" t="str">
            <v>Excepto: Estriado, ondulado y estampado; flotado claro; flotado, coloreados en la masa.</v>
          </cell>
          <cell r="E61" t="str">
            <v>5Excepto: Estriado, ondulado y estampado; flotado claro; flotado, coloreados en la masa.</v>
          </cell>
        </row>
        <row r="62">
          <cell r="A62" t="str">
            <v>7007.11.99</v>
          </cell>
          <cell r="B62" t="str">
            <v>Los demás.</v>
          </cell>
          <cell r="C62">
            <v>5</v>
          </cell>
          <cell r="D62" t="str">
            <v>Excepto: Vidrios laterales, claros, planos o curvos para uso automotriz; medallones sombreados, de color o polarizados, planos o curvos, para uso automotriz.</v>
          </cell>
          <cell r="E62" t="str">
            <v>5Excepto: Vidrios laterales, claros, planos o curvos para uso automotriz; medallones sombreados, de color o polarizados, planos o curvos, para uso automotriz.</v>
          </cell>
        </row>
        <row r="63">
          <cell r="A63" t="str">
            <v>7007.19.99</v>
          </cell>
          <cell r="B63" t="str">
            <v>Los demás.</v>
          </cell>
          <cell r="C63">
            <v>5</v>
          </cell>
          <cell r="E63" t="str">
            <v>5</v>
          </cell>
        </row>
        <row r="64">
          <cell r="A64" t="str">
            <v>7007.29.99</v>
          </cell>
          <cell r="B64" t="str">
            <v>Los demás.</v>
          </cell>
          <cell r="C64">
            <v>5</v>
          </cell>
          <cell r="E64" t="str">
            <v>5</v>
          </cell>
        </row>
        <row r="65">
          <cell r="A65" t="str">
            <v>7010.90.99</v>
          </cell>
          <cell r="B65" t="str">
            <v>Los demás.</v>
          </cell>
          <cell r="C65">
            <v>5</v>
          </cell>
          <cell r="D65" t="str">
            <v>Excepto: De capacidad superior a 1 l.</v>
          </cell>
          <cell r="E65" t="str">
            <v>5Excepto: De capacidad superior a 1 l.</v>
          </cell>
        </row>
        <row r="66">
          <cell r="A66" t="str">
            <v>7014.00.99</v>
          </cell>
          <cell r="B66" t="str">
            <v>Los demás.</v>
          </cell>
          <cell r="C66" t="str">
            <v>Ex.</v>
          </cell>
          <cell r="E66" t="str">
            <v>Ex.</v>
          </cell>
        </row>
        <row r="67">
          <cell r="A67" t="str">
            <v>7208.39.01</v>
          </cell>
          <cell r="B67" t="str">
            <v>De espesor inferior a 3 mm.</v>
          </cell>
          <cell r="C67" t="str">
            <v>Ex.</v>
          </cell>
          <cell r="E67" t="str">
            <v>Ex.</v>
          </cell>
        </row>
        <row r="68">
          <cell r="A68" t="str">
            <v>7208.51.04</v>
          </cell>
          <cell r="B68" t="str">
            <v>De espesor superior a 10 mm.</v>
          </cell>
          <cell r="C68" t="str">
            <v>Ex.</v>
          </cell>
          <cell r="D68" t="str">
            <v>Excepto: Placas de acero de espesor superior a 10 mm, grados SHT-80, SHT-110, AR-400, SMM-400 o A-516; placas de acero de espesor superior a 70 mm, grado A-36.</v>
          </cell>
          <cell r="E68" t="str">
            <v>Ex.Excepto: Placas de acero de espesor superior a 10 mm, grados SHT-80, SHT-110, AR-400, SMM-400 o A-516; placas de acero de espesor superior a 70 mm, grado A-36.</v>
          </cell>
        </row>
        <row r="69">
          <cell r="A69" t="str">
            <v>7211.29.99</v>
          </cell>
          <cell r="B69" t="str">
            <v>Los demás.</v>
          </cell>
          <cell r="C69" t="str">
            <v>Ex.</v>
          </cell>
          <cell r="D69" t="str">
            <v>Únicamente: Flejes con un contenido de carbono igual o superior a 0.6%.</v>
          </cell>
          <cell r="E69" t="str">
            <v>Ex.Únicamente: Flejes con un contenido de carbono igual o superior a 0.6%.</v>
          </cell>
        </row>
        <row r="70">
          <cell r="A70" t="str">
            <v>7317.00.99</v>
          </cell>
          <cell r="B70" t="str">
            <v>Los demás.</v>
          </cell>
          <cell r="C70">
            <v>5</v>
          </cell>
          <cell r="E70" t="str">
            <v>5</v>
          </cell>
        </row>
        <row r="71">
          <cell r="A71" t="str">
            <v>7419.20.02</v>
          </cell>
          <cell r="B71" t="str">
            <v>Terminales para cables.</v>
          </cell>
          <cell r="C71" t="str">
            <v>Ex.</v>
          </cell>
          <cell r="E71" t="str">
            <v>Ex.</v>
          </cell>
        </row>
        <row r="72">
          <cell r="A72" t="str">
            <v>7419.20.03</v>
          </cell>
          <cell r="B72" t="str">
            <v>Accesorios para tendidos aéreos eléctricos.</v>
          </cell>
          <cell r="C72">
            <v>5</v>
          </cell>
          <cell r="E72" t="str">
            <v>5</v>
          </cell>
        </row>
        <row r="73">
          <cell r="A73" t="str">
            <v>7419.20.99</v>
          </cell>
          <cell r="B73" t="str">
            <v>Los demás.</v>
          </cell>
          <cell r="C73">
            <v>5</v>
          </cell>
          <cell r="E73" t="str">
            <v>5</v>
          </cell>
        </row>
        <row r="74">
          <cell r="A74" t="str">
            <v>7419.80.02</v>
          </cell>
          <cell r="B74" t="str">
            <v>Terminales para cables.</v>
          </cell>
          <cell r="C74">
            <v>5</v>
          </cell>
          <cell r="E74" t="str">
            <v>5</v>
          </cell>
        </row>
        <row r="75">
          <cell r="A75" t="str">
            <v>7419.80.03</v>
          </cell>
          <cell r="B75" t="str">
            <v>Accesorios para tendidos aéreos eléctricos.</v>
          </cell>
          <cell r="C75">
            <v>5</v>
          </cell>
          <cell r="E75" t="str">
            <v>5</v>
          </cell>
        </row>
        <row r="76">
          <cell r="A76" t="str">
            <v>7606.12.99</v>
          </cell>
          <cell r="B76" t="str">
            <v>Los demás.</v>
          </cell>
          <cell r="C76" t="str">
            <v>Ex.</v>
          </cell>
          <cell r="E76" t="str">
            <v>Ex.</v>
          </cell>
        </row>
        <row r="77">
          <cell r="A77" t="str">
            <v>7610.90.99</v>
          </cell>
          <cell r="B77" t="str">
            <v>Los demás.</v>
          </cell>
          <cell r="C77">
            <v>5</v>
          </cell>
          <cell r="E77" t="str">
            <v>5</v>
          </cell>
        </row>
        <row r="78">
          <cell r="A78" t="str">
            <v>7612.90.99</v>
          </cell>
          <cell r="B78" t="str">
            <v>Los demás.</v>
          </cell>
          <cell r="C78">
            <v>5</v>
          </cell>
          <cell r="E78" t="str">
            <v>5</v>
          </cell>
        </row>
        <row r="79">
          <cell r="A79" t="str">
            <v>7616.10.99</v>
          </cell>
          <cell r="B79" t="str">
            <v>Los demás.</v>
          </cell>
          <cell r="C79">
            <v>5</v>
          </cell>
          <cell r="E79" t="str">
            <v>5</v>
          </cell>
        </row>
        <row r="80">
          <cell r="A80" t="str">
            <v>7616.91.01</v>
          </cell>
          <cell r="B80" t="str">
            <v>Telas metálicas, redes y rejas, de alambre de aluminio.</v>
          </cell>
          <cell r="C80">
            <v>5</v>
          </cell>
          <cell r="E80" t="str">
            <v>5</v>
          </cell>
        </row>
        <row r="81">
          <cell r="A81" t="str">
            <v>7616.99.13</v>
          </cell>
          <cell r="B81" t="str">
            <v>Escaleras.</v>
          </cell>
          <cell r="C81">
            <v>5</v>
          </cell>
          <cell r="E81" t="str">
            <v>5</v>
          </cell>
        </row>
        <row r="82">
          <cell r="A82" t="str">
            <v>7616.99.99</v>
          </cell>
          <cell r="B82" t="str">
            <v>Las demás.</v>
          </cell>
          <cell r="C82">
            <v>5</v>
          </cell>
          <cell r="E82" t="str">
            <v>5</v>
          </cell>
        </row>
        <row r="83">
          <cell r="A83" t="str">
            <v>8007.00.99</v>
          </cell>
          <cell r="B83" t="str">
            <v>Las demás.</v>
          </cell>
          <cell r="C83">
            <v>5</v>
          </cell>
          <cell r="E83" t="str">
            <v>5</v>
          </cell>
        </row>
        <row r="84">
          <cell r="A84" t="str">
            <v>8108.90.01</v>
          </cell>
          <cell r="B84" t="str">
            <v>Canastillas, bastidores ("Racks") y serpentines.</v>
          </cell>
          <cell r="C84">
            <v>5</v>
          </cell>
          <cell r="E84" t="str">
            <v>5</v>
          </cell>
        </row>
        <row r="85">
          <cell r="A85" t="str">
            <v>8202.10.01</v>
          </cell>
          <cell r="B85" t="str">
            <v>Serruchos (serrotes).</v>
          </cell>
          <cell r="C85">
            <v>5</v>
          </cell>
          <cell r="E85" t="str">
            <v>5</v>
          </cell>
        </row>
        <row r="86">
          <cell r="A86" t="str">
            <v>8202.10.04</v>
          </cell>
          <cell r="B86" t="str">
            <v>Sierras con marco o de arco (arcos con segueta, arcos para seguetas).</v>
          </cell>
          <cell r="C86">
            <v>5</v>
          </cell>
          <cell r="E86" t="str">
            <v>5</v>
          </cell>
        </row>
        <row r="87">
          <cell r="A87" t="str">
            <v>8202.10.99</v>
          </cell>
          <cell r="B87" t="str">
            <v>Los demás.</v>
          </cell>
          <cell r="C87">
            <v>5</v>
          </cell>
          <cell r="E87" t="str">
            <v>5</v>
          </cell>
        </row>
        <row r="88">
          <cell r="A88" t="str">
            <v>8202.31.01</v>
          </cell>
          <cell r="B88" t="str">
            <v>Con diámetro exterior inferior o igual a 800 mm.</v>
          </cell>
          <cell r="C88">
            <v>5</v>
          </cell>
          <cell r="E88" t="str">
            <v>5</v>
          </cell>
        </row>
        <row r="89">
          <cell r="A89" t="str">
            <v>8202.39.01</v>
          </cell>
          <cell r="B89" t="str">
            <v>Con diámetro inferior o igual a 800 mm, excepto lo comprendido en la fracción arancelaria 8202.39.02.</v>
          </cell>
          <cell r="C89">
            <v>5</v>
          </cell>
          <cell r="E89" t="str">
            <v>5</v>
          </cell>
        </row>
        <row r="90">
          <cell r="A90" t="str">
            <v>8202.39.99</v>
          </cell>
          <cell r="B90" t="str">
            <v>Las demás.</v>
          </cell>
          <cell r="C90">
            <v>5</v>
          </cell>
          <cell r="E90" t="str">
            <v>5</v>
          </cell>
        </row>
        <row r="91">
          <cell r="A91" t="str">
            <v>8203.10.99</v>
          </cell>
          <cell r="B91" t="str">
            <v>Las demás.</v>
          </cell>
          <cell r="C91">
            <v>5</v>
          </cell>
          <cell r="E91" t="str">
            <v>5</v>
          </cell>
        </row>
        <row r="92">
          <cell r="A92" t="str">
            <v>8203.20.99</v>
          </cell>
          <cell r="B92" t="str">
            <v>Los demás.</v>
          </cell>
          <cell r="C92">
            <v>5</v>
          </cell>
          <cell r="E92" t="str">
            <v>5</v>
          </cell>
        </row>
        <row r="93">
          <cell r="A93" t="str">
            <v>8203.30.01</v>
          </cell>
          <cell r="B93" t="str">
            <v>Cizallas para metales y herramientas similares.</v>
          </cell>
          <cell r="C93">
            <v>5</v>
          </cell>
          <cell r="E93" t="str">
            <v>5</v>
          </cell>
        </row>
        <row r="94">
          <cell r="A94" t="str">
            <v>8203.40.99</v>
          </cell>
          <cell r="B94" t="str">
            <v>Los demás.</v>
          </cell>
          <cell r="C94">
            <v>5</v>
          </cell>
          <cell r="E94" t="str">
            <v>5</v>
          </cell>
        </row>
        <row r="95">
          <cell r="A95" t="str">
            <v>8205.40.99</v>
          </cell>
          <cell r="B95" t="str">
            <v>Los demás.</v>
          </cell>
          <cell r="C95">
            <v>5</v>
          </cell>
          <cell r="E95" t="str">
            <v>5</v>
          </cell>
        </row>
        <row r="96">
          <cell r="A96" t="str">
            <v>8205.59.99</v>
          </cell>
          <cell r="B96" t="str">
            <v>Las demás.</v>
          </cell>
          <cell r="C96">
            <v>5</v>
          </cell>
          <cell r="D96" t="str">
            <v>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ell>
          <cell r="E96" t="str">
            <v>5Excepto: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ell>
        </row>
        <row r="97">
          <cell r="A97" t="str">
            <v>8302.10.99</v>
          </cell>
          <cell r="B97" t="str">
            <v>Los demás.</v>
          </cell>
          <cell r="C97">
            <v>5</v>
          </cell>
          <cell r="E97" t="str">
            <v>5</v>
          </cell>
        </row>
        <row r="98">
          <cell r="A98" t="str">
            <v>8302.49.99</v>
          </cell>
          <cell r="B98" t="str">
            <v>Los demás.</v>
          </cell>
          <cell r="C98">
            <v>5</v>
          </cell>
          <cell r="E98" t="str">
            <v>5</v>
          </cell>
        </row>
        <row r="99">
          <cell r="A99" t="str">
            <v>8305.20.01</v>
          </cell>
          <cell r="B99" t="str">
            <v>Grapas en tiras.</v>
          </cell>
          <cell r="C99">
            <v>5</v>
          </cell>
          <cell r="E99" t="str">
            <v>5</v>
          </cell>
        </row>
        <row r="100">
          <cell r="A100" t="str">
            <v>8305.90.01</v>
          </cell>
          <cell r="B100" t="str">
            <v>Clips u otros sujetadores.</v>
          </cell>
          <cell r="C100">
            <v>5</v>
          </cell>
          <cell r="E100" t="str">
            <v>5</v>
          </cell>
        </row>
        <row r="101">
          <cell r="A101" t="str">
            <v>8310.00.99</v>
          </cell>
          <cell r="B101" t="str">
            <v>Los demás.</v>
          </cell>
          <cell r="C101">
            <v>5</v>
          </cell>
          <cell r="E101" t="str">
            <v>5</v>
          </cell>
        </row>
        <row r="102">
          <cell r="A102" t="str">
            <v>8311.90.99</v>
          </cell>
          <cell r="B102" t="str">
            <v>Los demás.</v>
          </cell>
          <cell r="C102" t="str">
            <v>Ex.</v>
          </cell>
          <cell r="E102" t="str">
            <v>Ex.</v>
          </cell>
        </row>
        <row r="103">
          <cell r="A103" t="str">
            <v>8413.60.04</v>
          </cell>
          <cell r="B103" t="str">
            <v>Hidráulicas de paletas, para presión inferior o igual a 217 kg/cm² (210 atmósferas).</v>
          </cell>
          <cell r="C103">
            <v>5</v>
          </cell>
          <cell r="E103" t="str">
            <v>5</v>
          </cell>
        </row>
        <row r="104">
          <cell r="A104" t="str">
            <v>8413.70.99</v>
          </cell>
          <cell r="B104" t="str">
            <v>Las demás.</v>
          </cell>
          <cell r="C104">
            <v>5</v>
          </cell>
          <cell r="D104" t="str">
            <v>Excepto: Sumergibles, con tubería de descarga de diámetro interior superior o igual a 63 mm, pero inferior o igual a 610 mm; Motobombas sumergibles; Bombas de tipo centrífugo para manejo de petróleo y sus derivados.</v>
          </cell>
          <cell r="E104" t="str">
            <v>5Excepto: Sumergibles, con tubería de descarga de diámetro interior superior o igual a 63 mm, pero inferior o igual a 610 mm; Motobombas sumergibles; Bombas de tipo centrífugo para manejo de petróleo y sus derivados.</v>
          </cell>
        </row>
        <row r="105">
          <cell r="A105" t="str">
            <v>8413.81.02</v>
          </cell>
          <cell r="B105" t="str">
            <v>De accionamiento neumático, incluso con depósito, con o sin base rodante, para lubricantes.</v>
          </cell>
          <cell r="C105" t="str">
            <v>Ex.</v>
          </cell>
          <cell r="E105" t="str">
            <v>Ex.</v>
          </cell>
        </row>
        <row r="106">
          <cell r="A106" t="str">
            <v>8414.30.01</v>
          </cell>
          <cell r="B106" t="str">
            <v>Motocompresores, excepto lo comprendido en las fracciones arancelarias 8414.30.04, 8414.30.07, 8414.30.08 y 8414.30.10.</v>
          </cell>
          <cell r="C106" t="str">
            <v>Ex.</v>
          </cell>
          <cell r="D106" t="str">
            <v>Únicamente: Motocompresores herméticos con potencia superior a 1/28 CP., pero inferior o igual a 1/22 CP.</v>
          </cell>
          <cell r="E106" t="str">
            <v>Ex.Únicamente: Motocompresores herméticos con potencia superior a 1/28 CP., pero inferior o igual a 1/22 CP.</v>
          </cell>
        </row>
        <row r="107">
          <cell r="A107" t="str">
            <v>8414.30.02</v>
          </cell>
          <cell r="B107" t="str">
            <v>Denominados abiertos, excepto lo comprendido en la fracción arancelaria 8414.30.06.</v>
          </cell>
          <cell r="C107" t="str">
            <v>Ex.</v>
          </cell>
          <cell r="E107" t="str">
            <v>Ex.</v>
          </cell>
        </row>
        <row r="108">
          <cell r="A108" t="str">
            <v>8414.30.99</v>
          </cell>
          <cell r="B108" t="str">
            <v>Los demás.</v>
          </cell>
          <cell r="C108">
            <v>5</v>
          </cell>
          <cell r="E108" t="str">
            <v>5</v>
          </cell>
        </row>
        <row r="109">
          <cell r="A109" t="str">
            <v>8414.40.99</v>
          </cell>
          <cell r="B109" t="str">
            <v>Los demás.</v>
          </cell>
          <cell r="C109" t="str">
            <v>Ex.</v>
          </cell>
          <cell r="E109" t="str">
            <v>Ex.</v>
          </cell>
        </row>
        <row r="110">
          <cell r="A110" t="str">
            <v>8414.51.02</v>
          </cell>
          <cell r="B110" t="str">
            <v>Ventiladores anticondensantes de 12 V, corriente directa.</v>
          </cell>
          <cell r="C110" t="str">
            <v>Ex.</v>
          </cell>
          <cell r="E110" t="str">
            <v>Ex.</v>
          </cell>
        </row>
        <row r="111">
          <cell r="A111" t="str">
            <v>8414.59.99</v>
          </cell>
          <cell r="B111" t="str">
            <v>Los demás.</v>
          </cell>
          <cell r="C111" t="str">
            <v>Ex.</v>
          </cell>
          <cell r="E111" t="str">
            <v>Ex.</v>
          </cell>
        </row>
        <row r="112">
          <cell r="A112" t="str">
            <v>8414.60.99</v>
          </cell>
          <cell r="B112" t="str">
            <v>Los demás.</v>
          </cell>
          <cell r="C112" t="str">
            <v>Ex.</v>
          </cell>
          <cell r="E112" t="str">
            <v>Ex.</v>
          </cell>
        </row>
        <row r="113">
          <cell r="A113" t="str">
            <v>8414.70.01</v>
          </cell>
          <cell r="B113" t="str">
            <v>Del tipo de campana aspirante.</v>
          </cell>
          <cell r="C113" t="str">
            <v>Ex.</v>
          </cell>
          <cell r="E113" t="str">
            <v>Ex.</v>
          </cell>
        </row>
        <row r="114">
          <cell r="A114" t="str">
            <v>8414.70.02</v>
          </cell>
          <cell r="B114" t="str">
            <v>Filtros.</v>
          </cell>
          <cell r="C114" t="str">
            <v>Ex.</v>
          </cell>
          <cell r="D114" t="str">
            <v>Excepto: Purificadores de aire, sin dispositivos que modifiquen temperatura y/o humedad, reconocibles como diseñados exclusivamente para campanas aspirantes; depuradores ciclón.</v>
          </cell>
          <cell r="E114" t="str">
            <v>Ex.Excepto: Purificadores de aire, sin dispositivos que modifiquen temperatura y/o humedad, reconocibles como diseñados exclusivamente para campanas aspirantes; depuradores ciclón.</v>
          </cell>
        </row>
        <row r="115">
          <cell r="A115" t="str">
            <v>8416.20.99</v>
          </cell>
          <cell r="B115" t="str">
            <v>Las demás.</v>
          </cell>
          <cell r="C115">
            <v>5</v>
          </cell>
          <cell r="E115" t="str">
            <v>5</v>
          </cell>
        </row>
        <row r="116">
          <cell r="A116" t="str">
            <v>8417.10.03</v>
          </cell>
          <cell r="B116" t="str">
            <v>Para fusión, calentamiento, recalentamiento y/o tratamiento térmico de metales, excepto la oxicupola, con capacidad superior a 80 t/h y las industriales de operación continua.</v>
          </cell>
          <cell r="C116" t="str">
            <v>Ex.</v>
          </cell>
          <cell r="E116" t="str">
            <v>Ex.</v>
          </cell>
        </row>
        <row r="117">
          <cell r="A117" t="str">
            <v>8417.80.99</v>
          </cell>
          <cell r="B117" t="str">
            <v>Los demás.</v>
          </cell>
          <cell r="C117" t="str">
            <v>Ex.</v>
          </cell>
          <cell r="E117" t="str">
            <v>Ex.</v>
          </cell>
        </row>
        <row r="118">
          <cell r="A118" t="str">
            <v>8421.21.99</v>
          </cell>
          <cell r="B118" t="str">
            <v>Los demás.</v>
          </cell>
          <cell r="C118" t="str">
            <v>Ex.</v>
          </cell>
          <cell r="D118" t="str">
            <v>Excepto: Para albercas.</v>
          </cell>
          <cell r="E118" t="str">
            <v>Ex.Excepto: Para albercas.</v>
          </cell>
        </row>
        <row r="119">
          <cell r="A119" t="str">
            <v>8421.32.99</v>
          </cell>
          <cell r="B119" t="str">
            <v>Los demás.</v>
          </cell>
          <cell r="C119" t="str">
            <v>Ex.</v>
          </cell>
          <cell r="D119" t="str">
            <v>Excepto: Purificadores de aire, sin dispositivos que modifiquen temperatura y/o humedad, reconocibles como diseñados exclusivamente para campanas aspirantes de uso doméstico; depuradores ciclón.</v>
          </cell>
          <cell r="E119" t="str">
            <v>Ex.Excepto: Purificadores de aire, sin dispositivos que modifiquen temperatura y/o humedad, reconocibles como diseñados exclusivamente para campanas aspirantes de uso doméstico; depuradores ciclón.</v>
          </cell>
        </row>
        <row r="120">
          <cell r="A120" t="str">
            <v>8421.39.99</v>
          </cell>
          <cell r="B120" t="str">
            <v>Las demás.</v>
          </cell>
          <cell r="C120" t="str">
            <v>Ex.</v>
          </cell>
          <cell r="D120" t="str">
            <v>Excepto: Purificadores de aire, sin dispositivos que modifiquen temperatura y/o humedad, reconocibles como diseñados exclusivamente para campanas aspirantes de uso doméstico; depuradores ciclón.</v>
          </cell>
          <cell r="E120" t="str">
            <v>Ex.Excepto: Purificadores de aire, sin dispositivos que modifiquen temperatura y/o humedad, reconocibles como diseñados exclusivamente para campanas aspirantes de uso doméstico; depuradores ciclón.</v>
          </cell>
        </row>
        <row r="121">
          <cell r="A121" t="str">
            <v>8423.81.03</v>
          </cell>
          <cell r="B121" t="str">
            <v>Con capacidad inferior o igual a 30 kg.</v>
          </cell>
          <cell r="C121" t="str">
            <v>Ex.</v>
          </cell>
          <cell r="D121" t="str">
            <v>Excepto: De funcionamiento electrónico.</v>
          </cell>
          <cell r="E121" t="str">
            <v>Ex.Excepto: De funcionamiento electrónico.</v>
          </cell>
        </row>
        <row r="122">
          <cell r="A122" t="str">
            <v>8424.20.01</v>
          </cell>
          <cell r="B122" t="str">
            <v>Pulverizadores, espolvoreadores, esparcidores o aspersores, excepto los reconocibles para naves aéreas.</v>
          </cell>
          <cell r="C122" t="str">
            <v>Ex.</v>
          </cell>
          <cell r="E122" t="str">
            <v>Ex.</v>
          </cell>
        </row>
        <row r="123">
          <cell r="A123" t="str">
            <v>8425.11.99</v>
          </cell>
          <cell r="B123" t="str">
            <v>Los demás.</v>
          </cell>
          <cell r="C123">
            <v>5</v>
          </cell>
          <cell r="E123" t="str">
            <v>5</v>
          </cell>
        </row>
        <row r="124">
          <cell r="A124" t="str">
            <v>8425.19.99</v>
          </cell>
          <cell r="B124" t="str">
            <v>Los demás.</v>
          </cell>
          <cell r="C124">
            <v>5</v>
          </cell>
          <cell r="E124" t="str">
            <v>5</v>
          </cell>
        </row>
        <row r="125">
          <cell r="A125" t="str">
            <v>8425.31.01</v>
          </cell>
          <cell r="B125" t="str">
            <v>Con capacidad hasta 5,000 kg.</v>
          </cell>
          <cell r="C125">
            <v>5</v>
          </cell>
          <cell r="E125" t="str">
            <v>5</v>
          </cell>
        </row>
        <row r="126">
          <cell r="A126" t="str">
            <v>8425.39.99</v>
          </cell>
          <cell r="B126" t="str">
            <v>Los demás.</v>
          </cell>
          <cell r="C126">
            <v>5</v>
          </cell>
          <cell r="E126" t="str">
            <v>5</v>
          </cell>
        </row>
        <row r="127">
          <cell r="A127" t="str">
            <v>8425.42.01</v>
          </cell>
          <cell r="B127" t="str">
            <v>Tipo patín, aun cuando se presenten sin ruedas, con una o más bombas integrales, de peso mayor a 12 kg y capacidad de carga hasta 12 t.</v>
          </cell>
          <cell r="C127">
            <v>5</v>
          </cell>
          <cell r="E127" t="str">
            <v>5</v>
          </cell>
        </row>
        <row r="128">
          <cell r="A128" t="str">
            <v>8425.42.02</v>
          </cell>
          <cell r="B128" t="str">
            <v>Tipo botella con bomba integral, de peso unitario igual o inferior a 20 kg y capacidad máxima de carga de 20 t.</v>
          </cell>
          <cell r="C128">
            <v>5</v>
          </cell>
          <cell r="E128" t="str">
            <v>5</v>
          </cell>
        </row>
        <row r="129">
          <cell r="A129" t="str">
            <v>8425.49.99</v>
          </cell>
          <cell r="B129" t="str">
            <v>Los demás.</v>
          </cell>
          <cell r="C129">
            <v>5</v>
          </cell>
          <cell r="E129" t="str">
            <v>5</v>
          </cell>
        </row>
        <row r="130">
          <cell r="A130" t="str">
            <v>8427.10.01</v>
          </cell>
          <cell r="B130" t="str">
            <v>Montacargas de carga frontal y unidad motriz trasera (denominado “counterbalance”), con capacidad de carga hasta 3,500 kg.</v>
          </cell>
          <cell r="C130">
            <v>5</v>
          </cell>
          <cell r="E130" t="str">
            <v>5</v>
          </cell>
        </row>
        <row r="131">
          <cell r="A131" t="str">
            <v>8427.20.01</v>
          </cell>
          <cell r="B131" t="str">
            <v>Carretilla con motor de explosión o combustión interna con capacidad de carga hasta 7,000 kg, medida a 620 mm de la cara frontal de las horquillas, excepto lo comprendido en la fracción arancelaria 8427.20.04.</v>
          </cell>
          <cell r="C131">
            <v>5</v>
          </cell>
          <cell r="E131" t="str">
            <v>5</v>
          </cell>
        </row>
        <row r="132">
          <cell r="A132" t="str">
            <v>8427.20.04</v>
          </cell>
          <cell r="B132" t="str">
            <v>Montacargas de carga frontal y unidad motriz trasera (denominado "counterbalance"), con motor de explosión o combustión interna, con capacidad de carga hasta 7,000 kg.</v>
          </cell>
          <cell r="C132">
            <v>5</v>
          </cell>
          <cell r="E132" t="str">
            <v>5</v>
          </cell>
        </row>
        <row r="133">
          <cell r="A133" t="str">
            <v>8427.90.91</v>
          </cell>
          <cell r="B133" t="str">
            <v>Las demás carretillas.</v>
          </cell>
          <cell r="C133">
            <v>5</v>
          </cell>
          <cell r="D133" t="str">
            <v>Excepto: Carros de transferencia (plataforma móvil o cambiador para los recolectores o apiladores de minerales.</v>
          </cell>
          <cell r="E133" t="str">
            <v>5Excepto: Carros de transferencia (plataforma móvil o cambiador para los recolectores o apiladores de minerales.</v>
          </cell>
        </row>
        <row r="134">
          <cell r="A134" t="str">
            <v>8428.70.01</v>
          </cell>
          <cell r="B134" t="str">
            <v>Robots industriales.</v>
          </cell>
          <cell r="C134">
            <v>5</v>
          </cell>
          <cell r="E134" t="str">
            <v>5</v>
          </cell>
        </row>
        <row r="135">
          <cell r="A135" t="str">
            <v>8428.90.99</v>
          </cell>
          <cell r="B135" t="str">
            <v>Los demás.</v>
          </cell>
          <cell r="C135">
            <v>5</v>
          </cell>
          <cell r="D135" t="str">
            <v>Excepto: Brazos de carga marinos o terrestres (garzas marinas o terrestres), reconocibles para la carga o descarga de petróleo o sus derivados en navíos o carros tanque.</v>
          </cell>
          <cell r="E135" t="str">
            <v>5Excepto: Brazos de carga marinos o terrestres (garzas marinas o terrestres), reconocibles para la carga o descarga de petróleo o sus derivados en navíos o carros tanque.</v>
          </cell>
        </row>
        <row r="136">
          <cell r="A136" t="str">
            <v>8458.11.01</v>
          </cell>
          <cell r="B136" t="str">
            <v>Paralelos universales, con distancia entre puntos hasta de 4.5 m y con capacidad de volteo hasta de 750 mm, de diámetro sobre la bancada.</v>
          </cell>
          <cell r="C136" t="str">
            <v>Ex.</v>
          </cell>
          <cell r="E136" t="str">
            <v>Ex.</v>
          </cell>
        </row>
        <row r="137">
          <cell r="A137" t="str">
            <v>8458.19.01</v>
          </cell>
          <cell r="B137" t="str">
            <v>Paralelos universales, con distancia entre puntos hasta de 4.5 m y con capacidad de volteo hasta de 750 mm de diámetro sobre la bancada.</v>
          </cell>
          <cell r="C137" t="str">
            <v>Ex.</v>
          </cell>
          <cell r="E137" t="str">
            <v>Ex.</v>
          </cell>
        </row>
        <row r="138">
          <cell r="A138" t="str">
            <v>8459.51.01</v>
          </cell>
          <cell r="B138" t="str">
            <v>De control numérico.</v>
          </cell>
          <cell r="C138" t="str">
            <v>Ex.</v>
          </cell>
          <cell r="E138" t="str">
            <v>Ex.</v>
          </cell>
        </row>
        <row r="139">
          <cell r="A139" t="str">
            <v>8461.50.02</v>
          </cell>
          <cell r="B139" t="str">
            <v>Serradoras de disco o de cinta sinfín, excepto de control numérico.</v>
          </cell>
          <cell r="C139" t="str">
            <v>Ex.</v>
          </cell>
          <cell r="E139" t="str">
            <v>Ex.</v>
          </cell>
        </row>
        <row r="140">
          <cell r="A140" t="str">
            <v>8462.11.01</v>
          </cell>
          <cell r="B140" t="str">
            <v>Hidráulicas con capacidad (de presión de trabajo) hasta 1,000 t.</v>
          </cell>
          <cell r="C140" t="str">
            <v>Ex.</v>
          </cell>
          <cell r="E140" t="str">
            <v>Ex.</v>
          </cell>
        </row>
        <row r="141">
          <cell r="A141" t="str">
            <v>8462.19.01</v>
          </cell>
          <cell r="B141" t="str">
            <v>Hidráulicas con capacidad (de presión de trabajo) hasta 1,000 t.</v>
          </cell>
          <cell r="C141" t="str">
            <v>Ex.</v>
          </cell>
          <cell r="E141" t="str">
            <v>Ex.</v>
          </cell>
        </row>
        <row r="142">
          <cell r="A142" t="str">
            <v>8462.22.01</v>
          </cell>
          <cell r="B142" t="str">
            <v>Prensas mecánicas con capacidad inferior o igual a 200 t.</v>
          </cell>
          <cell r="C142" t="str">
            <v>Ex.</v>
          </cell>
          <cell r="D142" t="str">
            <v>Excepto: De control numérico.</v>
          </cell>
          <cell r="E142" t="str">
            <v>Ex.Excepto: De control numérico.</v>
          </cell>
        </row>
        <row r="143">
          <cell r="A143" t="str">
            <v>8462.26.01</v>
          </cell>
          <cell r="B143" t="str">
            <v>Enderezadoras de alambre o alambrón.</v>
          </cell>
          <cell r="C143" t="str">
            <v>Ex.</v>
          </cell>
          <cell r="E143" t="str">
            <v>Ex.</v>
          </cell>
        </row>
        <row r="144">
          <cell r="A144" t="str">
            <v>8462.26.02</v>
          </cell>
          <cell r="B144" t="str">
            <v>Dobladoras de tubos, accionadas con motor, para tubos con diámetro igual o inferior a 70 mm y espesor de pared igual o inferior a 6.5 mm.</v>
          </cell>
          <cell r="C144" t="str">
            <v>Ex.</v>
          </cell>
          <cell r="E144" t="str">
            <v>Ex.</v>
          </cell>
        </row>
        <row r="145">
          <cell r="A145" t="str">
            <v>8462.29.01</v>
          </cell>
          <cell r="B145" t="str">
            <v>Enderezadoras de alambre o alambrón.</v>
          </cell>
          <cell r="C145" t="str">
            <v>Ex.</v>
          </cell>
          <cell r="D145" t="str">
            <v>Únicamente: De control numérico.</v>
          </cell>
          <cell r="E145" t="str">
            <v>Ex.Únicamente: De control numérico.</v>
          </cell>
        </row>
        <row r="146">
          <cell r="A146" t="str">
            <v>8462.29.03</v>
          </cell>
          <cell r="B146" t="str">
            <v>Prensas hidráulicas con capacidad (de presión de trabajo) hasta1,000 t, excepto de control numérico.</v>
          </cell>
          <cell r="C146" t="str">
            <v>Ex.</v>
          </cell>
          <cell r="E146" t="str">
            <v>Ex.</v>
          </cell>
        </row>
        <row r="147">
          <cell r="A147" t="str">
            <v>8462.29.05</v>
          </cell>
          <cell r="B147" t="str">
            <v>Dobladoras (plegadoras) de accionamiento mecánico, con motor, excepto de control numérico.</v>
          </cell>
          <cell r="C147" t="str">
            <v>Ex.</v>
          </cell>
          <cell r="E147" t="str">
            <v>Ex.</v>
          </cell>
        </row>
        <row r="148">
          <cell r="A148" t="str">
            <v>8462.29.06</v>
          </cell>
          <cell r="B148" t="str">
            <v>Dobladoras de tubos accionadas con motor, para tubos con diámetro igual o inferior a 70 mm y espesor de pared igual o inferior a 6.5 mm.</v>
          </cell>
          <cell r="C148" t="str">
            <v>Ex.</v>
          </cell>
          <cell r="E148" t="str">
            <v>Ex.</v>
          </cell>
        </row>
        <row r="149">
          <cell r="A149" t="str">
            <v>8462.29.07</v>
          </cell>
          <cell r="B149" t="str">
            <v>Prensas mecánicas con capacidad inferior o igual a 200 t.</v>
          </cell>
          <cell r="C149" t="str">
            <v>Ex.</v>
          </cell>
          <cell r="D149" t="str">
            <v>Excepto: De control numérico.</v>
          </cell>
          <cell r="E149" t="str">
            <v>Ex.Excepto: De control numérico.</v>
          </cell>
        </row>
        <row r="150">
          <cell r="A150" t="str">
            <v>8462.33.01</v>
          </cell>
          <cell r="B150" t="str">
            <v>Máquinas de cizallar, de control numérico.</v>
          </cell>
          <cell r="C150" t="str">
            <v>Ex.</v>
          </cell>
          <cell r="E150" t="str">
            <v>Ex.</v>
          </cell>
        </row>
        <row r="151">
          <cell r="A151" t="str">
            <v>8462.39.01</v>
          </cell>
          <cell r="B151" t="str">
            <v>Cizallas o guillotinas; cortadoras de alambre o alambrón.</v>
          </cell>
          <cell r="C151" t="str">
            <v>Ex.</v>
          </cell>
          <cell r="E151" t="str">
            <v>Ex.</v>
          </cell>
        </row>
        <row r="152">
          <cell r="A152" t="str">
            <v>8462.39.03</v>
          </cell>
          <cell r="B152" t="str">
            <v>Prensas mecánicas con capacidad inferior o igual a 200 t.</v>
          </cell>
          <cell r="C152" t="str">
            <v>Ex.</v>
          </cell>
          <cell r="E152" t="str">
            <v>Ex.</v>
          </cell>
        </row>
        <row r="153">
          <cell r="A153" t="str">
            <v>8462.51.01</v>
          </cell>
          <cell r="B153" t="str">
            <v>Dobladoras de tubos, accionadas con motor, para tubos con diámetro igual o inferior a 70 mm y espesor de pared igual o inferior a 6.5 mm.</v>
          </cell>
          <cell r="C153" t="str">
            <v>Ex.</v>
          </cell>
          <cell r="E153" t="str">
            <v>Ex.</v>
          </cell>
        </row>
        <row r="154">
          <cell r="A154" t="str">
            <v>8462.51.02</v>
          </cell>
          <cell r="B154" t="str">
            <v>Cizallas o guillotinas.</v>
          </cell>
          <cell r="C154" t="str">
            <v>Ex.</v>
          </cell>
          <cell r="E154" t="str">
            <v>Ex.</v>
          </cell>
        </row>
        <row r="155">
          <cell r="A155" t="str">
            <v>8462.59.01</v>
          </cell>
          <cell r="B155" t="str">
            <v>Dobladoras (plegadoras) de accionamiento mecánico, con motor.</v>
          </cell>
          <cell r="C155" t="str">
            <v>Ex.</v>
          </cell>
          <cell r="E155" t="str">
            <v>Ex.</v>
          </cell>
        </row>
        <row r="156">
          <cell r="A156" t="str">
            <v>8462.59.02</v>
          </cell>
          <cell r="B156" t="str">
            <v>Dobladoras de tubos accionadas con motor, para tubos con diámetro igual o inferior a 70 mm y espesor de pared igual o inferior a 6.5 mm.</v>
          </cell>
          <cell r="C156" t="str">
            <v>Ex.</v>
          </cell>
          <cell r="E156" t="str">
            <v>Ex.</v>
          </cell>
        </row>
        <row r="157">
          <cell r="A157" t="str">
            <v>8462.59.03</v>
          </cell>
          <cell r="B157" t="str">
            <v>Cizallas o guillotinas; cortadoras de alambre o alambrón.</v>
          </cell>
          <cell r="C157" t="str">
            <v>Ex.</v>
          </cell>
          <cell r="E157" t="str">
            <v>Ex.</v>
          </cell>
        </row>
        <row r="158">
          <cell r="A158" t="str">
            <v>8462.61.01</v>
          </cell>
          <cell r="B158" t="str">
            <v>Prensas hidráulicas con capacidad (de presión de trabajo) hasta 1,000 t.</v>
          </cell>
          <cell r="C158" t="str">
            <v>Ex.</v>
          </cell>
          <cell r="E158" t="str">
            <v>Ex.</v>
          </cell>
        </row>
        <row r="159">
          <cell r="A159" t="str">
            <v>8462.62.01</v>
          </cell>
          <cell r="B159" t="str">
            <v>Prensas mecánicas con capacidad inferior o igual a 200 t, excepto para punzonar o entallar.</v>
          </cell>
          <cell r="C159" t="str">
            <v>Ex.</v>
          </cell>
          <cell r="E159" t="str">
            <v>Ex.</v>
          </cell>
        </row>
        <row r="160">
          <cell r="A160" t="str">
            <v>8466.93.03</v>
          </cell>
          <cell r="B160" t="str">
            <v>Reconocibles como diseñadas exclusiva o principalmente para taladros de columna o banco con transmisión por bandas o engranados.</v>
          </cell>
          <cell r="C160" t="str">
            <v>Ex.</v>
          </cell>
          <cell r="E160" t="str">
            <v>Ex.</v>
          </cell>
        </row>
        <row r="161">
          <cell r="A161" t="str">
            <v>8467.21.01</v>
          </cell>
          <cell r="B161" t="str">
            <v>Taladros, con capacidad de entrada de 6.35, 9.52 o 12.70 mm.</v>
          </cell>
          <cell r="C161" t="str">
            <v>Ex.</v>
          </cell>
          <cell r="E161" t="str">
            <v>Ex.</v>
          </cell>
        </row>
        <row r="162">
          <cell r="A162" t="str">
            <v>8467.21.03</v>
          </cell>
          <cell r="B162" t="str">
            <v>Perforadoras por percusión y rotación (rotomartillos), con potencia inferior o igual a ½ CP.</v>
          </cell>
          <cell r="C162" t="str">
            <v>Ex.</v>
          </cell>
          <cell r="E162" t="str">
            <v>Ex.</v>
          </cell>
        </row>
        <row r="163">
          <cell r="A163" t="str">
            <v>8467.21.99</v>
          </cell>
          <cell r="B163" t="str">
            <v>Los demás.</v>
          </cell>
          <cell r="C163" t="str">
            <v>Ex.</v>
          </cell>
          <cell r="E163" t="str">
            <v>Ex.</v>
          </cell>
        </row>
        <row r="164">
          <cell r="A164" t="str">
            <v>8467.22.02</v>
          </cell>
          <cell r="B164" t="str">
            <v>Sierras de disco con potencia del motor igual o inferior a 2.33 CP.</v>
          </cell>
          <cell r="C164" t="str">
            <v>Ex.</v>
          </cell>
          <cell r="E164" t="str">
            <v>Ex.</v>
          </cell>
        </row>
        <row r="165">
          <cell r="A165" t="str">
            <v>8467.22.03</v>
          </cell>
          <cell r="B165" t="str">
            <v>Sierra caladora, con potencia inferior o igual a 0.4 CP.</v>
          </cell>
          <cell r="C165" t="str">
            <v>Ex.</v>
          </cell>
          <cell r="E165" t="str">
            <v>Ex.</v>
          </cell>
        </row>
        <row r="166">
          <cell r="A166" t="str">
            <v>8467.29.01</v>
          </cell>
          <cell r="B166" t="str">
            <v>Esmeriladoras con un mínimo de 4,000 RPM a un máximo de 8,000 RPM, con capacidad de 8 a 25 amperes y de 100 a 150 V, con peso de 4 kg a 8 kg.</v>
          </cell>
          <cell r="C166">
            <v>5</v>
          </cell>
          <cell r="E166" t="str">
            <v>5</v>
          </cell>
        </row>
        <row r="167">
          <cell r="A167" t="str">
            <v>8467.29.03</v>
          </cell>
          <cell r="B167" t="str">
            <v>Pulidora-lijadora orbital con potencia inferior o igual a 0.2 CP.</v>
          </cell>
          <cell r="C167" t="str">
            <v>Ex.</v>
          </cell>
          <cell r="E167" t="str">
            <v>Ex.</v>
          </cell>
        </row>
        <row r="168">
          <cell r="A168" t="str">
            <v>8467.29.99</v>
          </cell>
          <cell r="B168" t="str">
            <v>Los demás.</v>
          </cell>
          <cell r="C168" t="str">
            <v>Ex.</v>
          </cell>
          <cell r="E168" t="str">
            <v>Ex.</v>
          </cell>
        </row>
        <row r="169">
          <cell r="A169" t="str">
            <v>8468.10.01</v>
          </cell>
          <cell r="B169" t="str">
            <v>Sopletes manuales.</v>
          </cell>
          <cell r="C169" t="str">
            <v>Ex.</v>
          </cell>
          <cell r="E169" t="str">
            <v>Ex.</v>
          </cell>
        </row>
        <row r="170">
          <cell r="A170" t="str">
            <v>8477.20.01</v>
          </cell>
          <cell r="B170" t="str">
            <v>De un husillo, para materias termoplásticas o de elastómeros granulados.</v>
          </cell>
          <cell r="C170" t="str">
            <v>Ex.</v>
          </cell>
          <cell r="E170" t="str">
            <v>Ex.</v>
          </cell>
        </row>
        <row r="171">
          <cell r="A171" t="str">
            <v>8479.81.02</v>
          </cell>
          <cell r="B171" t="str">
            <v>Toneles giratorios para el decapado, limpieza, pulido o abrillantado de piezas metálicas.</v>
          </cell>
          <cell r="C171" t="str">
            <v>Ex.</v>
          </cell>
          <cell r="E171" t="str">
            <v>Ex.</v>
          </cell>
        </row>
        <row r="172">
          <cell r="A172" t="str">
            <v>8479.81.04</v>
          </cell>
          <cell r="B172" t="str">
            <v>Para limpieza, pulido o abrillantado de piezas metálicas con abrasivos en circulación, excepto lo comprendido en la fracción arancelaria 8479.81.02.</v>
          </cell>
          <cell r="C172" t="str">
            <v>Ex.</v>
          </cell>
          <cell r="E172" t="str">
            <v>Ex.</v>
          </cell>
        </row>
        <row r="173">
          <cell r="A173" t="str">
            <v>8479.89.04</v>
          </cell>
          <cell r="B173" t="str">
            <v>Aparatos para la generación de una corriente controlada de aire ("cortinas de aire") para impedir la entrada de insectos, polvo y mantener la temperatura de un recinto.</v>
          </cell>
          <cell r="C173" t="str">
            <v>Ex.</v>
          </cell>
          <cell r="E173" t="str">
            <v>Ex.</v>
          </cell>
        </row>
        <row r="174">
          <cell r="A174" t="str">
            <v>8479.89.06</v>
          </cell>
          <cell r="B174" t="str">
            <v>Aparatos neumáticos o hidráulicos para automatizar máquinas, aparatos o artefactos mecánicos.</v>
          </cell>
          <cell r="C174" t="str">
            <v>Ex.</v>
          </cell>
          <cell r="E174" t="str">
            <v>Ex.</v>
          </cell>
        </row>
        <row r="175">
          <cell r="A175" t="str">
            <v>8479.89.08</v>
          </cell>
          <cell r="B175" t="str">
            <v>Frenos de motor.</v>
          </cell>
          <cell r="C175">
            <v>5</v>
          </cell>
          <cell r="E175" t="str">
            <v>5</v>
          </cell>
        </row>
        <row r="176">
          <cell r="A176" t="str">
            <v>8480.60.99</v>
          </cell>
          <cell r="B176" t="str">
            <v>Los demás.</v>
          </cell>
          <cell r="C176" t="str">
            <v>Ex.</v>
          </cell>
          <cell r="E176" t="str">
            <v>Ex.</v>
          </cell>
        </row>
        <row r="177">
          <cell r="A177" t="str">
            <v>8481.80.02</v>
          </cell>
          <cell r="B177" t="str">
            <v>Grifería sanitaria de uso doméstico.</v>
          </cell>
          <cell r="C177">
            <v>5</v>
          </cell>
          <cell r="E177" t="str">
            <v>5</v>
          </cell>
        </row>
        <row r="178">
          <cell r="A178" t="str">
            <v>8481.80.07</v>
          </cell>
          <cell r="B178" t="str">
            <v>Boquillas o espreas para aspersión.</v>
          </cell>
          <cell r="C178" t="str">
            <v>Ex.</v>
          </cell>
          <cell r="E178" t="str">
            <v>Ex.</v>
          </cell>
        </row>
        <row r="179">
          <cell r="A179" t="str">
            <v>8481.80.99</v>
          </cell>
          <cell r="B179" t="str">
            <v>Los demás.</v>
          </cell>
          <cell r="C179">
            <v>5</v>
          </cell>
          <cell r="E179" t="str">
            <v>5</v>
          </cell>
        </row>
        <row r="180">
          <cell r="A180" t="str">
            <v>8483.60.02</v>
          </cell>
          <cell r="B180" t="str">
            <v>Acoplamientos elásticos, acoplamientos de acero forjado con peso unitario superior o igual a 600 kg.</v>
          </cell>
          <cell r="C180">
            <v>5</v>
          </cell>
          <cell r="E180" t="str">
            <v>5</v>
          </cell>
        </row>
        <row r="181">
          <cell r="A181" t="str">
            <v>8483.60.99</v>
          </cell>
          <cell r="B181" t="str">
            <v>Los demás.</v>
          </cell>
          <cell r="C181">
            <v>5</v>
          </cell>
          <cell r="E181" t="str">
            <v>5</v>
          </cell>
        </row>
        <row r="182">
          <cell r="A182" t="str">
            <v>8487.90.01</v>
          </cell>
          <cell r="B182" t="str">
            <v>Cilindros hidráulicos.</v>
          </cell>
          <cell r="C182" t="str">
            <v>Ex.</v>
          </cell>
          <cell r="E182" t="str">
            <v>Ex.</v>
          </cell>
        </row>
        <row r="183">
          <cell r="A183" t="str">
            <v>8487.90.99</v>
          </cell>
          <cell r="B183" t="str">
            <v>Las demás.</v>
          </cell>
          <cell r="C183" t="str">
            <v>Ex.</v>
          </cell>
          <cell r="E183" t="str">
            <v>Ex.</v>
          </cell>
        </row>
        <row r="184">
          <cell r="A184" t="str">
            <v>8501.31.01</v>
          </cell>
          <cell r="B184" t="str">
            <v>Generadores.</v>
          </cell>
          <cell r="C184" t="str">
            <v>Ex.</v>
          </cell>
          <cell r="E184" t="str">
            <v>Ex.</v>
          </cell>
        </row>
        <row r="185">
          <cell r="A185" t="str">
            <v>8501.31.05</v>
          </cell>
          <cell r="B185" t="str">
            <v>Motores con potencia superior o igual a 186 W (¼ CP), excepto lo comprendido en las fracciones arancelarias 8501.31.03 y 8501.31.04.</v>
          </cell>
          <cell r="C185">
            <v>5</v>
          </cell>
          <cell r="E185" t="str">
            <v>5</v>
          </cell>
        </row>
        <row r="186">
          <cell r="A186" t="str">
            <v>8501.31.99</v>
          </cell>
          <cell r="B186" t="str">
            <v>Los demás.</v>
          </cell>
          <cell r="C186">
            <v>2.5</v>
          </cell>
          <cell r="E186" t="str">
            <v>2.5</v>
          </cell>
        </row>
        <row r="187">
          <cell r="A187" t="str">
            <v>8501.32.01</v>
          </cell>
          <cell r="B187" t="str">
            <v>Generadores.</v>
          </cell>
          <cell r="C187">
            <v>5</v>
          </cell>
          <cell r="E187" t="str">
            <v>5</v>
          </cell>
        </row>
        <row r="188">
          <cell r="A188" t="str">
            <v>8501.32.05</v>
          </cell>
          <cell r="B188" t="str">
            <v>Motores de potencia igual o inferior a 3.75 kW (5 CP).</v>
          </cell>
          <cell r="C188">
            <v>5</v>
          </cell>
          <cell r="E188" t="str">
            <v>5</v>
          </cell>
        </row>
        <row r="189">
          <cell r="A189" t="str">
            <v>8501.32.99</v>
          </cell>
          <cell r="B189" t="str">
            <v>Los demás.</v>
          </cell>
          <cell r="C189">
            <v>5</v>
          </cell>
          <cell r="E189" t="str">
            <v>5</v>
          </cell>
        </row>
        <row r="190">
          <cell r="A190" t="str">
            <v>8501.33.01</v>
          </cell>
          <cell r="B190" t="str">
            <v>Generadores con capacidad hasta de 150 kW.</v>
          </cell>
          <cell r="C190" t="str">
            <v>Ex.</v>
          </cell>
          <cell r="E190" t="str">
            <v>Ex.</v>
          </cell>
        </row>
        <row r="191">
          <cell r="A191" t="str">
            <v>8501.33.99</v>
          </cell>
          <cell r="B191" t="str">
            <v>Los demás.</v>
          </cell>
          <cell r="C191" t="str">
            <v>Ex.</v>
          </cell>
          <cell r="E191" t="str">
            <v>Ex.</v>
          </cell>
        </row>
        <row r="192">
          <cell r="A192" t="str">
            <v>8501.34.05</v>
          </cell>
          <cell r="B192" t="str">
            <v>Motores, con potencia inferior o igual a 2,611 kW (3,500 CP), excepto reconocibles para naves aéreas, para ascensores o elevadores, para trolebuses.</v>
          </cell>
          <cell r="C192" t="str">
            <v>Ex.</v>
          </cell>
          <cell r="E192" t="str">
            <v>Ex.</v>
          </cell>
        </row>
        <row r="193">
          <cell r="A193" t="str">
            <v>8501.51.02</v>
          </cell>
          <cell r="B193" t="str">
            <v>Asíncronos, trifásicos.</v>
          </cell>
          <cell r="C193">
            <v>5</v>
          </cell>
          <cell r="E193" t="str">
            <v>5</v>
          </cell>
        </row>
        <row r="194">
          <cell r="A194" t="str">
            <v>8501.52.04</v>
          </cell>
          <cell r="B194" t="str">
            <v>Asíncronos, trifásicos, excepto los reconocibles para naves aéreas; para trolebuses; para ascensores o elevadores.</v>
          </cell>
          <cell r="C194">
            <v>5</v>
          </cell>
          <cell r="E194" t="str">
            <v>5</v>
          </cell>
        </row>
        <row r="195">
          <cell r="A195" t="str">
            <v>8501.53.04</v>
          </cell>
          <cell r="B195" t="str">
            <v>Asíncronos, trifásicos, con potencia de salida inferior o igual a 8,952 kW (12,000 CP), excepto los reconocibles para naves aéreas; para trolebuses, ascensores o elevadores.</v>
          </cell>
          <cell r="C195">
            <v>5</v>
          </cell>
          <cell r="E195" t="str">
            <v>5</v>
          </cell>
        </row>
        <row r="196">
          <cell r="A196" t="str">
            <v>8501.61.01</v>
          </cell>
          <cell r="B196" t="str">
            <v>De potencia inferior o igual a 75 kVA.</v>
          </cell>
          <cell r="C196">
            <v>5</v>
          </cell>
          <cell r="E196" t="str">
            <v>5</v>
          </cell>
        </row>
        <row r="197">
          <cell r="A197" t="str">
            <v>8501.62.01</v>
          </cell>
          <cell r="B197" t="str">
            <v>De potencia superior a 75 kVA pero inferior o igual a 375 kVA.</v>
          </cell>
          <cell r="C197">
            <v>5</v>
          </cell>
          <cell r="E197" t="str">
            <v>5</v>
          </cell>
        </row>
        <row r="198">
          <cell r="A198" t="str">
            <v>8501.63.01</v>
          </cell>
          <cell r="B198" t="str">
            <v>De potencia superior a 375 kVA pero inferior o igual a 750 kVA.</v>
          </cell>
          <cell r="C198" t="str">
            <v>Ex.</v>
          </cell>
          <cell r="E198" t="str">
            <v>Ex.</v>
          </cell>
        </row>
        <row r="199">
          <cell r="A199" t="str">
            <v>8501.64.01</v>
          </cell>
          <cell r="B199" t="str">
            <v>De potencia superior a 750 kVA, pero inferior o igual a 6,000 kVA, excepto lo comprendido en la fracción arancelaria 8501.64.03.</v>
          </cell>
          <cell r="C199" t="str">
            <v>Ex.</v>
          </cell>
          <cell r="E199" t="str">
            <v>Ex.</v>
          </cell>
        </row>
        <row r="200">
          <cell r="A200" t="str">
            <v>8501.71.01</v>
          </cell>
          <cell r="B200" t="str">
            <v>De potencia inferior o igual a 50 W.</v>
          </cell>
          <cell r="C200" t="str">
            <v>Ex.</v>
          </cell>
          <cell r="E200" t="str">
            <v>Ex.</v>
          </cell>
        </row>
        <row r="201">
          <cell r="A201" t="str">
            <v>8501.72.01</v>
          </cell>
          <cell r="B201" t="str">
            <v>De potencia superior a 150 kW pero inferior o igual a 375 kW.</v>
          </cell>
          <cell r="C201" t="str">
            <v>Ex.</v>
          </cell>
          <cell r="E201" t="str">
            <v>Ex.</v>
          </cell>
        </row>
        <row r="202">
          <cell r="A202" t="str">
            <v>8501.72.99</v>
          </cell>
          <cell r="B202" t="str">
            <v>Los demás.</v>
          </cell>
          <cell r="C202" t="str">
            <v>Ex.</v>
          </cell>
          <cell r="E202" t="str">
            <v>Ex.</v>
          </cell>
        </row>
        <row r="203">
          <cell r="A203" t="str">
            <v>8501.80.99</v>
          </cell>
          <cell r="B203" t="str">
            <v>Los demás.</v>
          </cell>
          <cell r="C203" t="str">
            <v>Ex.</v>
          </cell>
          <cell r="E203" t="str">
            <v>Ex.</v>
          </cell>
        </row>
        <row r="204">
          <cell r="A204" t="str">
            <v>8502.11.01</v>
          </cell>
          <cell r="B204" t="str">
            <v>De potencia inferior o igual a 75 kVA.</v>
          </cell>
          <cell r="C204" t="str">
            <v>Ex.</v>
          </cell>
          <cell r="E204" t="str">
            <v>Ex.</v>
          </cell>
        </row>
        <row r="205">
          <cell r="A205" t="str">
            <v>8502.12.01</v>
          </cell>
          <cell r="B205" t="str">
            <v>De potencia superior a 75 kVA pero inferior o igual a 375 kVA.</v>
          </cell>
          <cell r="C205" t="str">
            <v>Ex.</v>
          </cell>
          <cell r="E205" t="str">
            <v>Ex.</v>
          </cell>
        </row>
        <row r="206">
          <cell r="A206" t="str">
            <v>8502.20.99</v>
          </cell>
          <cell r="B206" t="str">
            <v>Los demás.</v>
          </cell>
          <cell r="C206" t="str">
            <v>Ex.</v>
          </cell>
          <cell r="D206" t="str">
            <v>Excepto: Con capacidad nominal de generación superior a 1,500 kVA pero inferior o igual a 2,000 kVA.</v>
          </cell>
          <cell r="E206" t="str">
            <v>Ex.Excepto: Con capacidad nominal de generación superior a 1,500 kVA pero inferior o igual a 2,000 kVA.</v>
          </cell>
        </row>
        <row r="207">
          <cell r="A207" t="str">
            <v>8502.40.01</v>
          </cell>
          <cell r="B207" t="str">
            <v>Convertidores rotativos eléctricos.</v>
          </cell>
          <cell r="C207" t="str">
            <v>Ex.</v>
          </cell>
          <cell r="E207" t="str">
            <v>Ex.</v>
          </cell>
        </row>
        <row r="208">
          <cell r="A208" t="str">
            <v>8504.22.01</v>
          </cell>
          <cell r="B208" t="str">
            <v>De potencia superior a 650 kVA pero inferior o igual a 10,000 kVA.</v>
          </cell>
          <cell r="C208" t="str">
            <v>Ex.</v>
          </cell>
          <cell r="E208" t="str">
            <v>Ex.</v>
          </cell>
        </row>
        <row r="209">
          <cell r="A209" t="str">
            <v>8504.33.02</v>
          </cell>
          <cell r="B209" t="str">
            <v>De potencia superior a 16 kVA pero inferior o igual a 500 kVA.</v>
          </cell>
          <cell r="C209" t="str">
            <v>Ex.</v>
          </cell>
          <cell r="E209" t="str">
            <v>Ex.</v>
          </cell>
        </row>
        <row r="210">
          <cell r="A210" t="str">
            <v>8504.40.13</v>
          </cell>
          <cell r="B210" t="str">
            <v>Controladores de velocidad para motores eléctricos.</v>
          </cell>
          <cell r="C210" t="str">
            <v>Ex.</v>
          </cell>
          <cell r="E210" t="str">
            <v>Ex.</v>
          </cell>
        </row>
        <row r="211">
          <cell r="A211" t="str">
            <v>8504.40.16</v>
          </cell>
          <cell r="B211" t="str">
            <v>Fuentes de voltaje, con conversión de corriente CA/CC/CA, llamadas "no break" o "uninterruptible power supply" ("UPS"), excepto reguladores automáticos de voltaje y lo comprendido en la fracción arancelaria 8504.40.14.</v>
          </cell>
          <cell r="C211" t="str">
            <v>Ex.</v>
          </cell>
          <cell r="E211" t="str">
            <v>Ex.</v>
          </cell>
        </row>
        <row r="212">
          <cell r="A212" t="str">
            <v>8504.40.99</v>
          </cell>
          <cell r="B212" t="str">
            <v>Los demás.</v>
          </cell>
          <cell r="C212" t="str">
            <v>Ex.</v>
          </cell>
          <cell r="E212" t="str">
            <v>Ex.</v>
          </cell>
        </row>
        <row r="213">
          <cell r="A213" t="str">
            <v>8505.20.01</v>
          </cell>
          <cell r="B213" t="str">
            <v>Acoplamientos, embragues, variadores de velocidad y frenos, electromagnéticos.</v>
          </cell>
          <cell r="C213" t="str">
            <v>Ex.</v>
          </cell>
          <cell r="E213" t="str">
            <v>Ex.</v>
          </cell>
        </row>
        <row r="214">
          <cell r="A214" t="str">
            <v>8507.10.99</v>
          </cell>
          <cell r="B214" t="str">
            <v>Los demás.</v>
          </cell>
          <cell r="C214">
            <v>5</v>
          </cell>
          <cell r="E214" t="str">
            <v>5</v>
          </cell>
        </row>
        <row r="215">
          <cell r="A215" t="str">
            <v>8508.70.01</v>
          </cell>
          <cell r="B215" t="str">
            <v>Reconocibles como diseñadas exclusivamente para aspiradoras, con peso superior a 20 kg, para uso industrial.</v>
          </cell>
          <cell r="C215" t="str">
            <v>Ex.</v>
          </cell>
          <cell r="E215" t="str">
            <v>Ex.</v>
          </cell>
        </row>
        <row r="216">
          <cell r="A216" t="str">
            <v>8508.70.02</v>
          </cell>
          <cell r="B216" t="str">
            <v>Carcasas.</v>
          </cell>
          <cell r="C216">
            <v>5</v>
          </cell>
          <cell r="E216" t="str">
            <v>5</v>
          </cell>
        </row>
        <row r="217">
          <cell r="A217" t="str">
            <v>8508.70.99</v>
          </cell>
          <cell r="B217" t="str">
            <v>Las demás.</v>
          </cell>
          <cell r="C217">
            <v>5</v>
          </cell>
          <cell r="E217" t="str">
            <v>5</v>
          </cell>
        </row>
        <row r="218">
          <cell r="A218" t="str">
            <v>8510.90.03</v>
          </cell>
          <cell r="B218" t="str">
            <v>Hojas con o sin filo.</v>
          </cell>
          <cell r="C218" t="str">
            <v>Ex.</v>
          </cell>
          <cell r="E218" t="str">
            <v>Ex.</v>
          </cell>
        </row>
        <row r="219">
          <cell r="A219" t="str">
            <v>8510.90.99</v>
          </cell>
          <cell r="B219" t="str">
            <v>Los demás.</v>
          </cell>
          <cell r="C219" t="str">
            <v>Ex.</v>
          </cell>
          <cell r="E219" t="str">
            <v>Ex.</v>
          </cell>
        </row>
        <row r="220">
          <cell r="A220" t="str">
            <v>8511.80.01</v>
          </cell>
          <cell r="B220" t="str">
            <v>Reguladores de arranque.</v>
          </cell>
          <cell r="C220" t="str">
            <v>Ex.</v>
          </cell>
          <cell r="E220" t="str">
            <v>Ex.</v>
          </cell>
        </row>
        <row r="221">
          <cell r="A221" t="str">
            <v>8511.80.99</v>
          </cell>
          <cell r="B221" t="str">
            <v>Los demás.</v>
          </cell>
          <cell r="C221">
            <v>5</v>
          </cell>
          <cell r="E221" t="str">
            <v>5</v>
          </cell>
        </row>
        <row r="222">
          <cell r="A222" t="str">
            <v>8513.10.99</v>
          </cell>
          <cell r="B222" t="str">
            <v>Las demás.</v>
          </cell>
          <cell r="C222">
            <v>5</v>
          </cell>
          <cell r="E222" t="str">
            <v>5</v>
          </cell>
        </row>
        <row r="223">
          <cell r="A223" t="str">
            <v>8514.11.01</v>
          </cell>
          <cell r="B223" t="str">
            <v>Prensas isostáticas en caliente.</v>
          </cell>
          <cell r="C223" t="str">
            <v>Ex.</v>
          </cell>
          <cell r="E223" t="str">
            <v>Ex.</v>
          </cell>
        </row>
        <row r="224">
          <cell r="A224" t="str">
            <v>8514.19.03</v>
          </cell>
          <cell r="B224" t="str">
            <v>Hornos industriales, excepto lo comprendido en las fracciones arancelarias 8514.19.01, 8514.19.02 y 8514.19.04.</v>
          </cell>
          <cell r="C224" t="str">
            <v>Ex.</v>
          </cell>
          <cell r="E224" t="str">
            <v>Ex.</v>
          </cell>
        </row>
        <row r="225">
          <cell r="A225" t="str">
            <v>8514.19.99</v>
          </cell>
          <cell r="B225" t="str">
            <v>Los demás.</v>
          </cell>
          <cell r="C225" t="str">
            <v>Ex.</v>
          </cell>
          <cell r="E225" t="str">
            <v>Ex.</v>
          </cell>
        </row>
        <row r="226">
          <cell r="A226" t="str">
            <v>8514.20.03</v>
          </cell>
          <cell r="B226" t="str">
            <v>Hornos industriales, excepto lo comprendido en las fracciones arancelarias 8514.20.01, 8514.20.02, 8514.20.04 y 8514.20.05.</v>
          </cell>
          <cell r="C226" t="str">
            <v>Ex.</v>
          </cell>
          <cell r="E226" t="str">
            <v>Ex.</v>
          </cell>
        </row>
        <row r="227">
          <cell r="A227" t="str">
            <v>8514.20.99</v>
          </cell>
          <cell r="B227" t="str">
            <v>Los demás.</v>
          </cell>
          <cell r="C227" t="str">
            <v>Ex.</v>
          </cell>
          <cell r="E227" t="str">
            <v>Ex.</v>
          </cell>
        </row>
        <row r="228">
          <cell r="A228" t="str">
            <v>8515.11.01</v>
          </cell>
          <cell r="B228" t="str">
            <v>Para soldar o cortar, portátiles ("cautines").</v>
          </cell>
          <cell r="C228">
            <v>5</v>
          </cell>
          <cell r="E228" t="str">
            <v>5</v>
          </cell>
        </row>
        <row r="229">
          <cell r="A229" t="str">
            <v>8515.11.99</v>
          </cell>
          <cell r="B229" t="str">
            <v>Los demás.</v>
          </cell>
          <cell r="C229">
            <v>5</v>
          </cell>
          <cell r="E229" t="str">
            <v>5</v>
          </cell>
        </row>
        <row r="230">
          <cell r="A230" t="str">
            <v>8515.21.99</v>
          </cell>
          <cell r="B230" t="str">
            <v>Los demás.</v>
          </cell>
          <cell r="C230">
            <v>5</v>
          </cell>
          <cell r="E230" t="str">
            <v>5</v>
          </cell>
        </row>
        <row r="231">
          <cell r="A231" t="str">
            <v>8515.31.01</v>
          </cell>
          <cell r="B231" t="str">
            <v>Para soldar o cortar, de arco, tipo generador o transformador, inferior o igual a 1,260 amperes.</v>
          </cell>
          <cell r="C231">
            <v>5</v>
          </cell>
          <cell r="E231" t="str">
            <v>5</v>
          </cell>
        </row>
        <row r="232">
          <cell r="A232" t="str">
            <v>8515.31.99</v>
          </cell>
          <cell r="B232" t="str">
            <v>Los demás.</v>
          </cell>
          <cell r="C232">
            <v>5</v>
          </cell>
          <cell r="E232" t="str">
            <v>5</v>
          </cell>
        </row>
        <row r="233">
          <cell r="A233" t="str">
            <v>8515.39.01</v>
          </cell>
          <cell r="B233" t="str">
            <v>Para soldar o cortar, de arco, tipo generador o transformador, inferior o igual a 1,260 amperes.</v>
          </cell>
          <cell r="C233">
            <v>5</v>
          </cell>
          <cell r="E233" t="str">
            <v>5</v>
          </cell>
        </row>
        <row r="234">
          <cell r="A234" t="str">
            <v>8515.39.99</v>
          </cell>
          <cell r="B234" t="str">
            <v>Los demás.</v>
          </cell>
          <cell r="C234">
            <v>5</v>
          </cell>
          <cell r="E234" t="str">
            <v>5</v>
          </cell>
        </row>
        <row r="235">
          <cell r="A235" t="str">
            <v>8518.21.02</v>
          </cell>
          <cell r="B235" t="str">
            <v>Un altavoz (altoparlante) montado en su caja.</v>
          </cell>
          <cell r="C235" t="str">
            <v>Ex.</v>
          </cell>
          <cell r="E235" t="str">
            <v>Ex.</v>
          </cell>
        </row>
        <row r="236">
          <cell r="A236" t="str">
            <v>8518.22.02</v>
          </cell>
          <cell r="B236" t="str">
            <v>Varios altavoces (altoparlantes) montados en una misma caja.</v>
          </cell>
          <cell r="C236" t="str">
            <v>Ex.</v>
          </cell>
          <cell r="D236" t="str">
            <v>Únicamente: Sistemas constituidos por un altavoz subwoofer con amplificador incorporado, y varios altavoces (dos o más altavoces por caja), que se conectan a dicho amplificador.</v>
          </cell>
          <cell r="E236" t="str">
            <v>Ex.Únicamente: Sistemas constituidos por un altavoz subwoofer con amplificador incorporado, y varios altavoces (dos o más altavoces por caja), que se conectan a dicho amplificador.</v>
          </cell>
        </row>
        <row r="237">
          <cell r="A237" t="str">
            <v>8518.30.03</v>
          </cell>
          <cell r="B237" t="str">
            <v>Microteléfono.</v>
          </cell>
          <cell r="C237" t="str">
            <v>Ex.</v>
          </cell>
          <cell r="E237" t="str">
            <v>Ex.</v>
          </cell>
        </row>
        <row r="238">
          <cell r="A238" t="str">
            <v>8518.40.99</v>
          </cell>
          <cell r="B238" t="str">
            <v>Los demás.</v>
          </cell>
          <cell r="C238" t="str">
            <v>Ex.</v>
          </cell>
          <cell r="E238" t="str">
            <v>Ex.</v>
          </cell>
        </row>
        <row r="239">
          <cell r="A239" t="str">
            <v>8518.50.01</v>
          </cell>
          <cell r="B239" t="str">
            <v>Equipos eléctricos para amplificación de sonido.</v>
          </cell>
          <cell r="C239" t="str">
            <v>Ex.</v>
          </cell>
          <cell r="E239" t="str">
            <v>Ex.</v>
          </cell>
        </row>
        <row r="240">
          <cell r="A240" t="str">
            <v>8523.29.91</v>
          </cell>
          <cell r="B240" t="str">
            <v>Las demás cintas magnéticas grabadas.</v>
          </cell>
          <cell r="C240" t="str">
            <v>Ex.</v>
          </cell>
          <cell r="D240" t="str">
            <v>Excepto: Cintas magnéticas grabadas.</v>
          </cell>
          <cell r="E240" t="str">
            <v>Ex.Excepto: Cintas magnéticas grabadas.</v>
          </cell>
        </row>
        <row r="241">
          <cell r="A241" t="str">
            <v>8531.10.99</v>
          </cell>
          <cell r="B241" t="str">
            <v>Los demás.</v>
          </cell>
          <cell r="C241" t="str">
            <v>Ex.</v>
          </cell>
          <cell r="D241" t="str">
            <v>Excepto: Detectores electrónicos de humo, de monóxido de carbono, o de calor.</v>
          </cell>
          <cell r="E241" t="str">
            <v>Ex.Excepto: Detectores electrónicos de humo, de monóxido de carbono, o de calor.</v>
          </cell>
        </row>
        <row r="242">
          <cell r="A242" t="str">
            <v>8531.80.99</v>
          </cell>
          <cell r="B242" t="str">
            <v>Los demás.</v>
          </cell>
          <cell r="C242">
            <v>5</v>
          </cell>
          <cell r="E242" t="str">
            <v>5</v>
          </cell>
        </row>
        <row r="243">
          <cell r="A243" t="str">
            <v>8535.10.99</v>
          </cell>
          <cell r="B243" t="str">
            <v>Los demás.</v>
          </cell>
          <cell r="C243">
            <v>5</v>
          </cell>
          <cell r="E243" t="str">
            <v>5</v>
          </cell>
        </row>
        <row r="244">
          <cell r="A244" t="str">
            <v>8536.10.03</v>
          </cell>
          <cell r="B244" t="str">
            <v xml:space="preserve">Fusibles de alta capacidad de ruptura, de 20,000 amperes eficaces o más y cualquier corriente nominal, hasta 600 voltios de tensión, inclusive; excepto los reconocibles para naves aéreas. </v>
          </cell>
          <cell r="C244">
            <v>5</v>
          </cell>
          <cell r="E244" t="str">
            <v>5</v>
          </cell>
        </row>
        <row r="245">
          <cell r="A245" t="str">
            <v>8536.10.04</v>
          </cell>
          <cell r="B245" t="str">
            <v>Corta circuitos de fusible excepto los reconocibles para naves aéreas.</v>
          </cell>
          <cell r="C245">
            <v>5</v>
          </cell>
          <cell r="E245" t="str">
            <v>5</v>
          </cell>
        </row>
        <row r="246">
          <cell r="A246" t="str">
            <v>8537.10.03</v>
          </cell>
          <cell r="B246" t="str">
            <v>Cuadros de mando para máquinas de soldar por resistencia.</v>
          </cell>
          <cell r="C246">
            <v>5</v>
          </cell>
          <cell r="E246" t="str">
            <v>5</v>
          </cell>
        </row>
        <row r="247">
          <cell r="A247" t="str">
            <v>8539.22.99</v>
          </cell>
          <cell r="B247" t="str">
            <v>Los demás.</v>
          </cell>
          <cell r="C247">
            <v>5</v>
          </cell>
          <cell r="E247" t="str">
            <v>5</v>
          </cell>
        </row>
        <row r="248">
          <cell r="A248" t="str">
            <v>8539.39.99</v>
          </cell>
          <cell r="B248" t="str">
            <v>Los demás.</v>
          </cell>
          <cell r="C248">
            <v>5</v>
          </cell>
          <cell r="E248" t="str">
            <v>5</v>
          </cell>
        </row>
        <row r="249">
          <cell r="A249" t="str">
            <v>8543.70.17</v>
          </cell>
          <cell r="B249" t="str">
            <v>Ecualizadores.</v>
          </cell>
          <cell r="C249" t="str">
            <v>Ex.</v>
          </cell>
          <cell r="E249" t="str">
            <v>Ex.</v>
          </cell>
        </row>
        <row r="250">
          <cell r="A250" t="str">
            <v>8544.11.01</v>
          </cell>
          <cell r="B250" t="str">
            <v>De cobre.</v>
          </cell>
          <cell r="C250">
            <v>2.5</v>
          </cell>
          <cell r="E250" t="str">
            <v>2.5</v>
          </cell>
        </row>
        <row r="251">
          <cell r="A251" t="str">
            <v>8544.42.99</v>
          </cell>
          <cell r="B251" t="str">
            <v>Los demás.</v>
          </cell>
          <cell r="C251" t="str">
            <v>Ex.</v>
          </cell>
          <cell r="D251" t="str">
            <v>Únicamente: De cobre, aluminio o sus aleaciones.</v>
          </cell>
          <cell r="E251" t="str">
            <v>Ex.Únicamente: De cobre, aluminio o sus aleaciones.</v>
          </cell>
        </row>
        <row r="252">
          <cell r="A252" t="str">
            <v>9004.90.99</v>
          </cell>
          <cell r="B252" t="str">
            <v>Los demás.</v>
          </cell>
          <cell r="C252" t="str">
            <v>Ex.</v>
          </cell>
          <cell r="E252" t="str">
            <v>Ex.</v>
          </cell>
        </row>
        <row r="253">
          <cell r="A253" t="str">
            <v>9011.10.99</v>
          </cell>
          <cell r="B253" t="str">
            <v>Los demás.</v>
          </cell>
          <cell r="C253" t="str">
            <v>Ex.</v>
          </cell>
          <cell r="E253" t="str">
            <v>Ex.</v>
          </cell>
        </row>
        <row r="254">
          <cell r="A254" t="str">
            <v>9011.80.91</v>
          </cell>
          <cell r="B254" t="str">
            <v>Los demás microscopios.</v>
          </cell>
          <cell r="C254" t="str">
            <v>Ex.</v>
          </cell>
          <cell r="E254" t="str">
            <v>Ex.</v>
          </cell>
        </row>
        <row r="255">
          <cell r="A255" t="str">
            <v>9017.80.99</v>
          </cell>
          <cell r="B255" t="str">
            <v>Los demás.</v>
          </cell>
          <cell r="C255" t="str">
            <v>Ex.</v>
          </cell>
          <cell r="D255" t="str">
            <v>Excepto: Cintas métricas.</v>
          </cell>
          <cell r="E255" t="str">
            <v>Ex.Excepto: Cintas métricas.</v>
          </cell>
        </row>
        <row r="256">
          <cell r="A256" t="str">
            <v>9025.11.99</v>
          </cell>
          <cell r="B256" t="str">
            <v>Los demás.</v>
          </cell>
          <cell r="C256" t="str">
            <v>Ex.</v>
          </cell>
          <cell r="E256" t="str">
            <v>Ex.</v>
          </cell>
        </row>
        <row r="257">
          <cell r="A257" t="str">
            <v>9025.19.99</v>
          </cell>
          <cell r="B257" t="str">
            <v>Los demás.</v>
          </cell>
          <cell r="C257" t="str">
            <v>Ex.</v>
          </cell>
          <cell r="E257" t="str">
            <v>Ex.</v>
          </cell>
        </row>
        <row r="258">
          <cell r="A258" t="str">
            <v>9025.80.01</v>
          </cell>
          <cell r="B258" t="str">
            <v>Aerómetros y densímetros.</v>
          </cell>
          <cell r="C258" t="str">
            <v>Ex.</v>
          </cell>
          <cell r="E258" t="str">
            <v>Ex.</v>
          </cell>
        </row>
        <row r="259">
          <cell r="A259" t="str">
            <v>9026.20.03</v>
          </cell>
          <cell r="B259" t="str">
            <v>Reguladores medidores de la presión de aire a inyectar en neumáticos de vehículos, incluso con distribuidores de agua.</v>
          </cell>
          <cell r="C259" t="str">
            <v>Ex.</v>
          </cell>
          <cell r="E259" t="str">
            <v>Ex.</v>
          </cell>
        </row>
        <row r="260">
          <cell r="A260" t="str">
            <v>9026.20.04</v>
          </cell>
          <cell r="B260" t="str">
            <v>Reguladores de presión, acoplados a válvulas o manómetros.</v>
          </cell>
          <cell r="C260" t="str">
            <v>Ex.</v>
          </cell>
          <cell r="E260" t="str">
            <v>Ex.</v>
          </cell>
        </row>
        <row r="261">
          <cell r="A261" t="str">
            <v>9028.20.03</v>
          </cell>
          <cell r="B261" t="str">
            <v>Contadores de agua, excepto los equipados con dispositivos que permitan su lectura remota (lectura electrónica).</v>
          </cell>
          <cell r="C261" t="str">
            <v>Ex.</v>
          </cell>
          <cell r="E261" t="str">
            <v>Ex.</v>
          </cell>
        </row>
        <row r="262">
          <cell r="A262" t="str">
            <v>9029.10.03</v>
          </cell>
          <cell r="B262" t="str">
            <v>Taxímetros electrónicos o electromecánicos.</v>
          </cell>
          <cell r="C262" t="str">
            <v>Ex.</v>
          </cell>
          <cell r="E262" t="str">
            <v>Ex.</v>
          </cell>
        </row>
        <row r="263">
          <cell r="A263" t="str">
            <v>9031.80.01</v>
          </cell>
          <cell r="B263" t="str">
            <v>Controles fotoeléctricos.</v>
          </cell>
          <cell r="C263" t="str">
            <v>Ex.</v>
          </cell>
          <cell r="E263" t="str">
            <v>Ex.</v>
          </cell>
        </row>
        <row r="264">
          <cell r="A264" t="str">
            <v>9031.80.07</v>
          </cell>
          <cell r="B264" t="str">
            <v>Niveles.</v>
          </cell>
          <cell r="C264" t="str">
            <v>Ex.</v>
          </cell>
          <cell r="E264" t="str">
            <v>Ex.</v>
          </cell>
        </row>
        <row r="265">
          <cell r="A265" t="str">
            <v>9032.10.03</v>
          </cell>
          <cell r="B265" t="str">
            <v>Automáticos para el control de la temperatura del agua, con dispositivos de seguridad para fallas de flama.</v>
          </cell>
          <cell r="C265">
            <v>5</v>
          </cell>
          <cell r="E265" t="str">
            <v>5</v>
          </cell>
        </row>
        <row r="266">
          <cell r="A266" t="str">
            <v>9032.20.01</v>
          </cell>
          <cell r="B266" t="str">
            <v>Manostatos (presostatos).</v>
          </cell>
          <cell r="C266" t="str">
            <v>Ex.</v>
          </cell>
          <cell r="E266" t="str">
            <v>Ex.</v>
          </cell>
        </row>
        <row r="267">
          <cell r="A267" t="str">
            <v>9032.89.02</v>
          </cell>
          <cell r="B267" t="str">
            <v>Reguladores automáticos de voltaje, excepto para uso industrial, incluso combinados, en una misma envolvente o carcasa, con una fuente de voltaje con conversión de corriente CA/CC/CA, de las también llamadas "no break" o "uninterruptible power supply" ("UPS").</v>
          </cell>
          <cell r="C267" t="str">
            <v>Ex.</v>
          </cell>
          <cell r="E267" t="str">
            <v>Ex.</v>
          </cell>
        </row>
        <row r="268">
          <cell r="A268" t="str">
            <v>9032.89.06</v>
          </cell>
          <cell r="B268" t="str">
            <v>Reguladores tipo inducción, excepto lo comprendido en la fracción arancelaria 9032.89.02.</v>
          </cell>
          <cell r="C268" t="str">
            <v>Ex.</v>
          </cell>
          <cell r="E268" t="str">
            <v>Ex.</v>
          </cell>
        </row>
        <row r="269">
          <cell r="A269" t="str">
            <v>9032.89.99</v>
          </cell>
          <cell r="B269" t="str">
            <v>Los demás.</v>
          </cell>
          <cell r="C269" t="str">
            <v>Ex.</v>
          </cell>
          <cell r="E269" t="str">
            <v>Ex.</v>
          </cell>
        </row>
        <row r="270">
          <cell r="A270" t="str">
            <v>9405.91.99</v>
          </cell>
          <cell r="B270" t="str">
            <v>Las demás.</v>
          </cell>
          <cell r="C270">
            <v>5</v>
          </cell>
          <cell r="E270" t="str">
            <v>5</v>
          </cell>
        </row>
        <row r="271">
          <cell r="A271" t="str">
            <v>9405.99.99</v>
          </cell>
          <cell r="B271" t="str">
            <v>Las demás.</v>
          </cell>
          <cell r="C271">
            <v>5</v>
          </cell>
          <cell r="E271" t="str">
            <v>5</v>
          </cell>
        </row>
        <row r="272">
          <cell r="A272" t="str">
            <v>9603.90.99</v>
          </cell>
          <cell r="B272" t="str">
            <v>Los demás.</v>
          </cell>
          <cell r="C272" t="str">
            <v>Ex.</v>
          </cell>
          <cell r="E272" t="str">
            <v>Ex.</v>
          </cell>
        </row>
      </sheetData>
      <sheetData sheetId="4">
        <row r="1">
          <cell r="A1" t="str">
            <v>CÓDIGO</v>
          </cell>
          <cell r="B1" t="str">
            <v>DESCRIPCIÓN</v>
          </cell>
          <cell r="C1" t="str">
            <v>ARANCEL</v>
          </cell>
          <cell r="D1" t="str">
            <v>ACOTACIÓN</v>
          </cell>
          <cell r="E1" t="str">
            <v>Ex/ACO</v>
          </cell>
        </row>
        <row r="2">
          <cell r="C2" t="str">
            <v>(%)</v>
          </cell>
        </row>
        <row r="3">
          <cell r="A3" t="str">
            <v>2710.19.02</v>
          </cell>
          <cell r="B3" t="str">
            <v>Aceites de engrase o preparaciones lubricantes a base de aceites minerales derivados del petróleo, con aditivos (aceites lubricantes terminados).</v>
          </cell>
          <cell r="C3" t="str">
            <v>Ex.</v>
          </cell>
          <cell r="E3" t="str">
            <v>Ex.</v>
          </cell>
        </row>
        <row r="4">
          <cell r="A4" t="str">
            <v>2803.00.02</v>
          </cell>
          <cell r="B4" t="str">
            <v>Negro de humo de hornos.</v>
          </cell>
          <cell r="C4" t="str">
            <v>Ex.</v>
          </cell>
          <cell r="E4" t="str">
            <v>Ex.</v>
          </cell>
        </row>
        <row r="5">
          <cell r="A5" t="str">
            <v>2807.00.01</v>
          </cell>
          <cell r="B5" t="str">
            <v>Ácido sulfúrico; oleum.</v>
          </cell>
          <cell r="C5" t="str">
            <v>Ex.</v>
          </cell>
          <cell r="E5" t="str">
            <v>Ex.</v>
          </cell>
        </row>
        <row r="6">
          <cell r="A6" t="str">
            <v>2827.20.01</v>
          </cell>
          <cell r="B6" t="str">
            <v>Cloruro de calcio.</v>
          </cell>
          <cell r="C6" t="str">
            <v>Ex.</v>
          </cell>
          <cell r="E6" t="str">
            <v>Ex.</v>
          </cell>
        </row>
        <row r="7">
          <cell r="A7" t="str">
            <v>2834.29.99</v>
          </cell>
          <cell r="B7" t="str">
            <v>Los demás.</v>
          </cell>
          <cell r="C7" t="str">
            <v>Ex.</v>
          </cell>
          <cell r="E7" t="str">
            <v>Ex.</v>
          </cell>
        </row>
        <row r="8">
          <cell r="A8" t="str">
            <v>2836.30.01</v>
          </cell>
          <cell r="B8" t="str">
            <v>Hidrogenocarbonato (bicarbonato) de sodio.</v>
          </cell>
          <cell r="C8" t="str">
            <v>Ex.</v>
          </cell>
          <cell r="E8" t="str">
            <v>Ex.</v>
          </cell>
        </row>
        <row r="9">
          <cell r="A9" t="str">
            <v>2839.19.99</v>
          </cell>
          <cell r="B9" t="str">
            <v>Los demás.</v>
          </cell>
          <cell r="C9" t="str">
            <v>Ex.</v>
          </cell>
          <cell r="E9" t="str">
            <v>Ex.</v>
          </cell>
        </row>
        <row r="10">
          <cell r="A10" t="str">
            <v>2904.10.99</v>
          </cell>
          <cell r="B10" t="str">
            <v>Los demás.</v>
          </cell>
          <cell r="C10" t="str">
            <v>Ex.</v>
          </cell>
          <cell r="E10" t="str">
            <v>Ex.</v>
          </cell>
        </row>
        <row r="11">
          <cell r="A11" t="str">
            <v>2905.31.01</v>
          </cell>
          <cell r="B11" t="str">
            <v>Etilenglicol (etanodiol).</v>
          </cell>
          <cell r="C11" t="str">
            <v>Ex.</v>
          </cell>
          <cell r="E11" t="str">
            <v>Ex.</v>
          </cell>
        </row>
        <row r="12">
          <cell r="A12" t="str">
            <v>2905.39.02</v>
          </cell>
          <cell r="B12" t="str">
            <v>2-Metil-2,4-pentanodiol.</v>
          </cell>
          <cell r="C12" t="str">
            <v>Ex.</v>
          </cell>
          <cell r="E12" t="str">
            <v>Ex.</v>
          </cell>
        </row>
        <row r="13">
          <cell r="A13" t="str">
            <v>2905.45.99</v>
          </cell>
          <cell r="B13" t="str">
            <v>Los demás.</v>
          </cell>
          <cell r="C13" t="str">
            <v>Ex.</v>
          </cell>
          <cell r="E13" t="str">
            <v>Ex.</v>
          </cell>
        </row>
        <row r="14">
          <cell r="A14" t="str">
            <v>2917.39.99</v>
          </cell>
          <cell r="B14" t="str">
            <v>Los demás.</v>
          </cell>
          <cell r="C14" t="str">
            <v>Ex.</v>
          </cell>
          <cell r="E14" t="str">
            <v>Ex.</v>
          </cell>
        </row>
        <row r="15">
          <cell r="A15" t="str">
            <v>2921.30.99</v>
          </cell>
          <cell r="B15" t="str">
            <v>Los demás.</v>
          </cell>
          <cell r="C15" t="str">
            <v>Ex.</v>
          </cell>
          <cell r="D15" t="str">
            <v>Excepto: Ciclohexilamina.</v>
          </cell>
          <cell r="E15" t="str">
            <v>Ex.Excepto: Ciclohexilamina.</v>
          </cell>
        </row>
        <row r="16">
          <cell r="A16" t="str">
            <v>3204.17.02</v>
          </cell>
          <cell r="B16" t="str">
            <v>Colorantes pigmentarios: Diarilidas con la siguiente clasificación de "Colour Index": Amarillo: 12, 13, 14, 17, 83; Naranja: 13.</v>
          </cell>
          <cell r="C16" t="str">
            <v>Ex.</v>
          </cell>
          <cell r="E16" t="str">
            <v>Ex.</v>
          </cell>
        </row>
        <row r="17">
          <cell r="A17" t="str">
            <v>3204.17.08</v>
          </cell>
          <cell r="B17" t="str">
            <v>Pigmentos, excepto lo comprendido en las fracciones arancelarias 3204.17.01, 3204.17.02, 3204.17.03, 3204.17.04, 3204.17.05, 3204.17.06 y 3204.17.07.</v>
          </cell>
          <cell r="C17" t="str">
            <v>Ex.</v>
          </cell>
          <cell r="E17" t="str">
            <v>Ex.</v>
          </cell>
        </row>
        <row r="18">
          <cell r="A18" t="str">
            <v>3206.19.99</v>
          </cell>
          <cell r="B18" t="str">
            <v>Los demás.</v>
          </cell>
          <cell r="C18" t="str">
            <v>Ex.</v>
          </cell>
          <cell r="E18" t="str">
            <v>Ex.</v>
          </cell>
        </row>
        <row r="19">
          <cell r="A19" t="str">
            <v>3208.10.02</v>
          </cell>
          <cell r="B19" t="str">
            <v>A base de poliésteres.</v>
          </cell>
          <cell r="C19" t="str">
            <v>Ex.</v>
          </cell>
          <cell r="E19" t="str">
            <v>Ex.</v>
          </cell>
        </row>
        <row r="20">
          <cell r="A20" t="str">
            <v>3208.20.03</v>
          </cell>
          <cell r="B20" t="str">
            <v>A base de polímeros acrílicos o vinílicos.</v>
          </cell>
          <cell r="C20" t="str">
            <v>Ex.</v>
          </cell>
          <cell r="E20" t="str">
            <v>Ex.</v>
          </cell>
        </row>
        <row r="21">
          <cell r="A21" t="str">
            <v>3214.10.01</v>
          </cell>
          <cell r="B21" t="str">
            <v>Masilla, cementos de resina y demás mástiques, excepto lo comprendido en la fracción arancelaria 3214.10.02; plastes (enduidos) utilizados en pintura.</v>
          </cell>
          <cell r="C21" t="str">
            <v>Ex.</v>
          </cell>
          <cell r="E21" t="str">
            <v>Ex.</v>
          </cell>
        </row>
        <row r="22">
          <cell r="A22" t="str">
            <v>3214.90.99</v>
          </cell>
          <cell r="B22" t="str">
            <v>Los demás.</v>
          </cell>
          <cell r="C22" t="str">
            <v>Ex.</v>
          </cell>
          <cell r="E22" t="str">
            <v>Ex.</v>
          </cell>
        </row>
        <row r="23">
          <cell r="A23" t="str">
            <v>3402.42.99</v>
          </cell>
          <cell r="B23" t="str">
            <v>Los demás.</v>
          </cell>
          <cell r="C23" t="str">
            <v>Ex.</v>
          </cell>
          <cell r="E23" t="str">
            <v>Ex.</v>
          </cell>
        </row>
        <row r="24">
          <cell r="A24" t="str">
            <v>3402.90.99</v>
          </cell>
          <cell r="B24" t="str">
            <v>Las demás.</v>
          </cell>
          <cell r="C24" t="str">
            <v>Ex.</v>
          </cell>
          <cell r="E24" t="str">
            <v>Ex.</v>
          </cell>
        </row>
        <row r="25">
          <cell r="A25" t="str">
            <v>3405.90.99</v>
          </cell>
          <cell r="B25" t="str">
            <v>Las demás.</v>
          </cell>
          <cell r="C25" t="str">
            <v>Ex.</v>
          </cell>
          <cell r="E25" t="str">
            <v>Ex.</v>
          </cell>
        </row>
        <row r="26">
          <cell r="A26" t="str">
            <v>3506.10.99</v>
          </cell>
          <cell r="B26" t="str">
            <v>Los demás.</v>
          </cell>
          <cell r="C26" t="str">
            <v>Ex.</v>
          </cell>
          <cell r="E26" t="str">
            <v>Ex.</v>
          </cell>
        </row>
        <row r="27">
          <cell r="A27" t="str">
            <v>3506.91.01</v>
          </cell>
          <cell r="B27" t="str">
            <v>Adhesivos anaeróbicos.</v>
          </cell>
          <cell r="C27" t="str">
            <v>Ex.</v>
          </cell>
          <cell r="E27" t="str">
            <v>Ex.</v>
          </cell>
        </row>
        <row r="28">
          <cell r="A28" t="str">
            <v>3506.91.99</v>
          </cell>
          <cell r="B28" t="str">
            <v>Los demás.</v>
          </cell>
          <cell r="C28" t="str">
            <v>Ex.</v>
          </cell>
          <cell r="E28" t="str">
            <v>Ex.</v>
          </cell>
        </row>
        <row r="29">
          <cell r="A29" t="str">
            <v>3506.99.99</v>
          </cell>
          <cell r="B29" t="str">
            <v>Los demás.</v>
          </cell>
          <cell r="C29" t="str">
            <v>Ex.</v>
          </cell>
          <cell r="E29" t="str">
            <v>Ex.</v>
          </cell>
        </row>
        <row r="30">
          <cell r="A30" t="str">
            <v>3802.10.01</v>
          </cell>
          <cell r="B30" t="str">
            <v>Carbón activado.</v>
          </cell>
          <cell r="C30" t="str">
            <v>Ex.</v>
          </cell>
          <cell r="E30" t="str">
            <v>Ex.</v>
          </cell>
        </row>
        <row r="31">
          <cell r="A31" t="str">
            <v>3810.10.01</v>
          </cell>
          <cell r="B31" t="str">
            <v>Preparaciones para el decapado de metal; pastas y polvos para soldar, constituidos por metal y otros productos.</v>
          </cell>
          <cell r="C31" t="str">
            <v>Ex.</v>
          </cell>
          <cell r="E31" t="str">
            <v>Ex.</v>
          </cell>
        </row>
        <row r="32">
          <cell r="A32" t="str">
            <v>3812.39.99</v>
          </cell>
          <cell r="B32" t="str">
            <v xml:space="preserve"> Los demás.</v>
          </cell>
          <cell r="C32" t="str">
            <v>Ex.</v>
          </cell>
          <cell r="D32" t="str">
            <v>Excepto: Estabilizantes para compuestos plásticos vinílicos, a base de estaño, plomo, calcio, bario, cinc y/o cadmio.</v>
          </cell>
          <cell r="E32" t="str">
            <v>Ex.Excepto: Estabilizantes para compuestos plásticos vinílicos, a base de estaño, plomo, calcio, bario, cinc y/o cadmio.</v>
          </cell>
        </row>
        <row r="33">
          <cell r="A33" t="str">
            <v>3814.00.01</v>
          </cell>
          <cell r="B33" t="str">
            <v>Disolventes y diluyentes orgánicos compuestos, no expresados ni comprendidos en otra parte; preparaciones para quitar pinturas o barnices.</v>
          </cell>
          <cell r="C33" t="str">
            <v>Ex.</v>
          </cell>
          <cell r="E33" t="str">
            <v>Ex.</v>
          </cell>
        </row>
        <row r="34">
          <cell r="A34" t="str">
            <v>3820.00.01</v>
          </cell>
          <cell r="B34" t="str">
            <v>Preparaciones anticongelantes y líquidos preparados para descongelar.</v>
          </cell>
          <cell r="C34" t="str">
            <v>Ex.</v>
          </cell>
          <cell r="E34" t="str">
            <v>Ex.</v>
          </cell>
        </row>
        <row r="35">
          <cell r="A35" t="str">
            <v>3824.84.01</v>
          </cell>
          <cell r="B35" t="str">
            <v>Que contengan aldrina (ISO), canfecloro (ISO) (toxafeno), clordano (ISO), clordecona (ISO), DDT (ISO) (clofenotano (DCI), 1,1,1-tricloro-2,2-bis(p-clorofenil)etano), dieldrina (ISO, DCI), endosulfán (ISO), endrina (ISO), heptacloro (ISO) o mirex (ISO).</v>
          </cell>
          <cell r="C35" t="str">
            <v>Ex.</v>
          </cell>
          <cell r="E35" t="str">
            <v>Ex.</v>
          </cell>
        </row>
        <row r="36">
          <cell r="A36" t="str">
            <v>3824.85.01</v>
          </cell>
          <cell r="B36" t="str">
            <v>Que contengan 1,2,3,4,5,6-hexaclorociclohexano (HCH (ISO)), incluido el lindano (ISO, DCI).</v>
          </cell>
          <cell r="C36" t="str">
            <v>Ex.</v>
          </cell>
          <cell r="E36" t="str">
            <v>Ex.</v>
          </cell>
        </row>
        <row r="37">
          <cell r="A37" t="str">
            <v>3824.86.01</v>
          </cell>
          <cell r="B37" t="str">
            <v>Que contengan pentaclorobenceno (ISO) o hexaclorobenceno (ISO).</v>
          </cell>
          <cell r="C37" t="str">
            <v>Ex.</v>
          </cell>
          <cell r="E37" t="str">
            <v>Ex.</v>
          </cell>
        </row>
        <row r="38">
          <cell r="A38" t="str">
            <v>3824.87.01</v>
          </cell>
          <cell r="B38" t="str">
            <v>Que contengan ácido perfluorooctano sulfónico o sus sales, perfluorooctano sulfonamidas o fluoruro de perfluorooctano sulfonilo.</v>
          </cell>
          <cell r="C38" t="str">
            <v>Ex.</v>
          </cell>
          <cell r="E38" t="str">
            <v>Ex.</v>
          </cell>
        </row>
        <row r="39">
          <cell r="A39" t="str">
            <v>3824.88.01</v>
          </cell>
          <cell r="B39" t="str">
            <v>Que contengan éteres tetra-, penta-, hexa-, hepta- u octabromodifenílicos.</v>
          </cell>
          <cell r="C39" t="str">
            <v>Ex.</v>
          </cell>
          <cell r="E39" t="str">
            <v>Ex.</v>
          </cell>
        </row>
        <row r="40">
          <cell r="A40" t="str">
            <v>3824.91.01</v>
          </cell>
          <cell r="B40" t="str">
            <v>Mezclas y preparaciones constituidas esencialmente de metilfosfonato de (5-etil-2-metil-2-óxido-1,3,2-dioxafosfinan-5-il)metil metilo y metilfosfonato de bis[(5-etil-2-metil-2-óxido-1,3,2-dioxafosfinan-5-il)metilo].</v>
          </cell>
          <cell r="C40" t="str">
            <v>Ex.</v>
          </cell>
          <cell r="E40" t="str">
            <v>Ex.</v>
          </cell>
        </row>
        <row r="41">
          <cell r="A41" t="str">
            <v>3824.92.01</v>
          </cell>
          <cell r="B41" t="str">
            <v>Ésteres de poliglicol del ácido metilfosfónico.</v>
          </cell>
          <cell r="C41" t="str">
            <v>Ex.</v>
          </cell>
          <cell r="E41" t="str">
            <v>Ex.</v>
          </cell>
        </row>
        <row r="42">
          <cell r="A42" t="str">
            <v>3824.99.01</v>
          </cell>
          <cell r="B42" t="str">
            <v>Preparaciones borra tinta.</v>
          </cell>
          <cell r="C42" t="str">
            <v>Ex.</v>
          </cell>
          <cell r="E42" t="str">
            <v>Ex.</v>
          </cell>
        </row>
        <row r="43">
          <cell r="A43" t="str">
            <v>3824.99.99</v>
          </cell>
          <cell r="B43" t="str">
            <v xml:space="preserve"> Los demás.</v>
          </cell>
          <cell r="C43" t="str">
            <v>Ex.</v>
          </cell>
          <cell r="D43" t="str">
            <v>Excepto: Cloroparafinas; ácidos grasos dimerizados; sal orgánica compuesta por silicatos de arcillas bentónicas o modificados con compuestos cuaternarios de amonio; mezcla de difenilmetan diisocianato y polimetilen polifenil isocianato; blanqueadores para harina a base de peróxido de benzoilo y fosfato de calcio; polisebacato de propilenglicol; preparaciones para impedir que resbalen las poleas; composiciones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nafténicos.</v>
          </cell>
          <cell r="E43" t="str">
            <v>Ex.Excepto: Cloroparafinas; ácidos grasos dimerizados; sal orgánica compuesta por silicatos de arcillas bentónicas o modificados con compuestos cuaternarios de amonio; mezcla de difenilmetan diisocianato y polimetilen polifenil isocianato; blanqueadores para harina a base de peróxido de benzoilo y fosfato de calcio; polisebacato de propilenglicol; preparaciones para impedir que resbalen las poleas; composiciones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nafténicos.</v>
          </cell>
        </row>
        <row r="44">
          <cell r="A44" t="str">
            <v>3901.30.01</v>
          </cell>
          <cell r="B44" t="str">
            <v>Copolímeros de etileno y acetato de vinilo.</v>
          </cell>
          <cell r="C44" t="str">
            <v>Ex.</v>
          </cell>
          <cell r="E44" t="str">
            <v>Ex.</v>
          </cell>
        </row>
        <row r="45">
          <cell r="A45" t="str">
            <v>3902.10.01</v>
          </cell>
          <cell r="B45" t="str">
            <v>Sin adición de negro de humo.</v>
          </cell>
          <cell r="C45" t="str">
            <v>Ex.</v>
          </cell>
          <cell r="E45" t="str">
            <v>Ex.</v>
          </cell>
        </row>
        <row r="46">
          <cell r="A46" t="str">
            <v>3902.10.99</v>
          </cell>
          <cell r="B46" t="str">
            <v>Los demás.</v>
          </cell>
          <cell r="C46" t="str">
            <v>Ex.</v>
          </cell>
          <cell r="E46" t="str">
            <v>Ex.</v>
          </cell>
        </row>
        <row r="47">
          <cell r="A47" t="str">
            <v>3902.30.01</v>
          </cell>
          <cell r="B47" t="str">
            <v>Copolímeros de propileno, sin adición de negro de humo.</v>
          </cell>
          <cell r="C47" t="str">
            <v>Ex.</v>
          </cell>
          <cell r="E47" t="str">
            <v>Ex.</v>
          </cell>
        </row>
        <row r="48">
          <cell r="A48" t="str">
            <v>3902.90.99</v>
          </cell>
          <cell r="B48" t="str">
            <v>Los demás.</v>
          </cell>
          <cell r="C48" t="str">
            <v>Ex.</v>
          </cell>
          <cell r="E48" t="str">
            <v>Ex.</v>
          </cell>
        </row>
        <row r="49">
          <cell r="A49" t="str">
            <v>3903.19.99</v>
          </cell>
          <cell r="B49" t="str">
            <v>Los demás.</v>
          </cell>
          <cell r="C49" t="str">
            <v>Ex.</v>
          </cell>
          <cell r="E49" t="str">
            <v>Ex.</v>
          </cell>
        </row>
        <row r="50">
          <cell r="A50" t="str">
            <v>3903.20.01</v>
          </cell>
          <cell r="B50" t="str">
            <v>Copolímeros de estireno-acrilonitrilo (SAN).</v>
          </cell>
          <cell r="C50" t="str">
            <v>Ex.</v>
          </cell>
          <cell r="E50" t="str">
            <v>Ex.</v>
          </cell>
        </row>
        <row r="51">
          <cell r="A51" t="str">
            <v>3903.30.01</v>
          </cell>
          <cell r="B51" t="str">
            <v>Copolímeros de acrilonitrilo-butadieno-estireno (ABS).</v>
          </cell>
          <cell r="C51" t="str">
            <v>Ex.</v>
          </cell>
          <cell r="E51" t="str">
            <v>Ex.</v>
          </cell>
        </row>
        <row r="52">
          <cell r="A52" t="str">
            <v>3903.90.01</v>
          </cell>
          <cell r="B52" t="str">
            <v>Copolímeros de estireno-vinilo.</v>
          </cell>
          <cell r="C52" t="str">
            <v>Ex.</v>
          </cell>
          <cell r="E52" t="str">
            <v>Ex.</v>
          </cell>
        </row>
        <row r="53">
          <cell r="A53" t="str">
            <v>3903.90.02</v>
          </cell>
          <cell r="B53" t="str">
            <v>Copolímeros de estireno-maléico.</v>
          </cell>
          <cell r="C53" t="str">
            <v>Ex.</v>
          </cell>
          <cell r="E53" t="str">
            <v>Ex.</v>
          </cell>
        </row>
        <row r="54">
          <cell r="A54" t="str">
            <v>3903.90.05</v>
          </cell>
          <cell r="B54" t="str">
            <v>Copolímeros del estireno, excepto los elastoméricos termoplásticos y lo comprendido en las fracciones arancelarias 3903.90.01 a la 3903.90.03.</v>
          </cell>
          <cell r="C54" t="str">
            <v>Ex.</v>
          </cell>
          <cell r="E54" t="str">
            <v>Ex.</v>
          </cell>
        </row>
        <row r="55">
          <cell r="A55" t="str">
            <v>3903.90.99</v>
          </cell>
          <cell r="B55" t="str">
            <v>Los demás.</v>
          </cell>
          <cell r="C55" t="str">
            <v>Ex.</v>
          </cell>
          <cell r="E55" t="str">
            <v>Ex.</v>
          </cell>
        </row>
        <row r="56">
          <cell r="A56" t="str">
            <v>3904.10.02</v>
          </cell>
          <cell r="B56" t="str">
            <v>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v>
          </cell>
          <cell r="C56" t="str">
            <v>Ex.</v>
          </cell>
          <cell r="E56" t="str">
            <v>Ex.</v>
          </cell>
        </row>
        <row r="57">
          <cell r="A57" t="str">
            <v>3904.10.99</v>
          </cell>
          <cell r="B57" t="str">
            <v>Los demás.</v>
          </cell>
          <cell r="C57" t="str">
            <v>Ex.</v>
          </cell>
          <cell r="E57" t="str">
            <v>Ex.</v>
          </cell>
        </row>
        <row r="58">
          <cell r="A58" t="str">
            <v>3905.12.01</v>
          </cell>
          <cell r="B58" t="str">
            <v>En dispersión acuosa.</v>
          </cell>
          <cell r="C58" t="str">
            <v>Ex.</v>
          </cell>
          <cell r="E58" t="str">
            <v>Ex.</v>
          </cell>
        </row>
        <row r="59">
          <cell r="A59" t="str">
            <v>3905.99.99</v>
          </cell>
          <cell r="B59" t="str">
            <v>Los demás.</v>
          </cell>
          <cell r="C59" t="str">
            <v>Ex.</v>
          </cell>
          <cell r="D59" t="str">
            <v>Únicamente: Polivinilpirrolidona.</v>
          </cell>
          <cell r="E59" t="str">
            <v>Ex.Únicamente: Polivinilpirrolidona.</v>
          </cell>
        </row>
        <row r="60">
          <cell r="A60" t="str">
            <v>3906.90.09</v>
          </cell>
          <cell r="B60" t="str">
            <v>Copolímero de metacrilato de metilo-acrilato de etilo, en polvo.</v>
          </cell>
          <cell r="C60" t="str">
            <v>Ex.</v>
          </cell>
          <cell r="E60" t="str">
            <v>Ex.</v>
          </cell>
        </row>
        <row r="61">
          <cell r="A61" t="str">
            <v>3906.90.99</v>
          </cell>
          <cell r="B61" t="str">
            <v>Los demás.</v>
          </cell>
          <cell r="C61" t="str">
            <v>Ex.</v>
          </cell>
          <cell r="E61" t="str">
            <v>Ex.</v>
          </cell>
        </row>
        <row r="62">
          <cell r="A62" t="str">
            <v>3907.21.01</v>
          </cell>
          <cell r="B62" t="str">
            <v>Metilfosfonato de bis(polioxietileno).</v>
          </cell>
          <cell r="C62" t="str">
            <v>Ex.</v>
          </cell>
          <cell r="E62" t="str">
            <v>Ex.</v>
          </cell>
        </row>
        <row r="63">
          <cell r="A63" t="str">
            <v>3907.29.06</v>
          </cell>
          <cell r="B63" t="str">
            <v>Poli(propilenglicol).</v>
          </cell>
          <cell r="C63" t="str">
            <v>Ex.</v>
          </cell>
          <cell r="E63" t="str">
            <v>Ex.</v>
          </cell>
        </row>
        <row r="64">
          <cell r="A64" t="str">
            <v>3907.29.99</v>
          </cell>
          <cell r="B64" t="str">
            <v>Los demás.</v>
          </cell>
          <cell r="C64" t="str">
            <v>Ex.</v>
          </cell>
          <cell r="E64" t="str">
            <v>Ex.</v>
          </cell>
        </row>
        <row r="65">
          <cell r="A65" t="str">
            <v>3907.30.02</v>
          </cell>
          <cell r="B65" t="str">
            <v>Resinas epóxidas tipo etoxilinas cicloalifaticas o novolacas.</v>
          </cell>
          <cell r="C65" t="str">
            <v>Ex.</v>
          </cell>
          <cell r="E65" t="str">
            <v>Ex.</v>
          </cell>
        </row>
        <row r="66">
          <cell r="A66" t="str">
            <v>3907.30.99</v>
          </cell>
          <cell r="B66" t="str">
            <v>Los demás.</v>
          </cell>
          <cell r="C66" t="str">
            <v>Ex.</v>
          </cell>
          <cell r="E66" t="str">
            <v>Ex.</v>
          </cell>
        </row>
        <row r="67">
          <cell r="A67" t="str">
            <v>3907.50.99</v>
          </cell>
          <cell r="B67" t="str">
            <v>Los demás.</v>
          </cell>
          <cell r="C67" t="str">
            <v>Ex.</v>
          </cell>
          <cell r="E67" t="str">
            <v>Ex.</v>
          </cell>
        </row>
        <row r="68">
          <cell r="A68" t="str">
            <v>3907.61.01</v>
          </cell>
          <cell r="B68" t="str">
            <v>Con un índice de viscosidad superior o igual a 78 ml/g.</v>
          </cell>
          <cell r="C68" t="str">
            <v>Ex.</v>
          </cell>
          <cell r="E68" t="str">
            <v>Ex.</v>
          </cell>
        </row>
        <row r="69">
          <cell r="A69" t="str">
            <v>3907.69.99</v>
          </cell>
          <cell r="B69" t="str">
            <v>Los demás.</v>
          </cell>
          <cell r="C69" t="str">
            <v>Ex.</v>
          </cell>
          <cell r="E69" t="str">
            <v>Ex.</v>
          </cell>
        </row>
        <row r="70">
          <cell r="A70" t="str">
            <v>3907.91.99</v>
          </cell>
          <cell r="B70" t="str">
            <v>Los demás.</v>
          </cell>
          <cell r="C70" t="str">
            <v>Ex.</v>
          </cell>
          <cell r="E70" t="str">
            <v>Ex.</v>
          </cell>
        </row>
        <row r="71">
          <cell r="A71" t="str">
            <v>3907.99.02</v>
          </cell>
          <cell r="B71" t="str">
            <v>Resina poliéster derivada del ácido adípico y glicoles.</v>
          </cell>
          <cell r="C71" t="str">
            <v>Ex.</v>
          </cell>
          <cell r="E71" t="str">
            <v>Ex.</v>
          </cell>
        </row>
        <row r="72">
          <cell r="A72" t="str">
            <v>3907.99.05</v>
          </cell>
          <cell r="B72" t="str">
            <v>Polibutilen tereftalato, excepto lo comprendido en las fracciones arancelarias 3907.99.03 y 3907.99.04.</v>
          </cell>
          <cell r="C72" t="str">
            <v>Ex.</v>
          </cell>
          <cell r="E72" t="str">
            <v>Ex.</v>
          </cell>
        </row>
        <row r="73">
          <cell r="A73" t="str">
            <v>3907.99.99</v>
          </cell>
          <cell r="B73" t="str">
            <v>Los demás.</v>
          </cell>
          <cell r="C73" t="str">
            <v>Ex.</v>
          </cell>
          <cell r="E73" t="str">
            <v>Ex.</v>
          </cell>
        </row>
        <row r="74">
          <cell r="A74" t="str">
            <v>3908.10.01</v>
          </cell>
          <cell r="B74" t="str">
            <v>Polímeros de la hexametilendiamina y ácido dodecandioico.</v>
          </cell>
          <cell r="C74" t="str">
            <v>Ex.</v>
          </cell>
          <cell r="E74" t="str">
            <v>Ex.</v>
          </cell>
        </row>
        <row r="75">
          <cell r="A75" t="str">
            <v>3908.10.05</v>
          </cell>
          <cell r="B75" t="str">
            <v>Poliamidas o superpoliamidas, excepto lo comprendido en las fracciones arancelarias 3908.10.01 a la 3908.10.04, 3908.10.06, 3908.10.07 y 3908.10.08.</v>
          </cell>
          <cell r="C75" t="str">
            <v>Ex.</v>
          </cell>
          <cell r="E75" t="str">
            <v>Ex.</v>
          </cell>
        </row>
        <row r="76">
          <cell r="A76" t="str">
            <v>3908.90.99</v>
          </cell>
          <cell r="B76" t="str">
            <v>Las demás.</v>
          </cell>
          <cell r="C76" t="str">
            <v>Ex.</v>
          </cell>
          <cell r="E76" t="str">
            <v>Ex.</v>
          </cell>
        </row>
        <row r="77">
          <cell r="A77" t="str">
            <v>3909.40.99</v>
          </cell>
          <cell r="B77" t="str">
            <v>Los demás.</v>
          </cell>
          <cell r="C77" t="str">
            <v>Ex.</v>
          </cell>
          <cell r="E77" t="str">
            <v>Ex.</v>
          </cell>
        </row>
        <row r="78">
          <cell r="A78" t="str">
            <v>3909.50.99</v>
          </cell>
          <cell r="B78" t="str">
            <v>Los demás.</v>
          </cell>
          <cell r="C78" t="str">
            <v>Ex.</v>
          </cell>
          <cell r="D78" t="str">
            <v>Excepto: Poliuretanos, sin pigmentos, cargas o modificantes, excepto en forma líquida o pastosa, incluidas las emulsiones, dispersiones y soluciones.</v>
          </cell>
          <cell r="E78" t="str">
            <v>Ex.Excepto: Poliuretanos, sin pigmentos, cargas o modificantes, excepto en forma líquida o pastosa, incluidas las emulsiones, dispersiones y soluciones.</v>
          </cell>
        </row>
        <row r="79">
          <cell r="A79" t="str">
            <v>3910.00.01</v>
          </cell>
          <cell r="B79" t="str">
            <v>Resinas de silicona ("potting compound") para empleo electrónico.</v>
          </cell>
          <cell r="C79" t="str">
            <v>Ex.</v>
          </cell>
          <cell r="E79" t="str">
            <v>Ex.</v>
          </cell>
        </row>
        <row r="80">
          <cell r="A80" t="str">
            <v>3910.00.99</v>
          </cell>
          <cell r="B80" t="str">
            <v>Los demás.</v>
          </cell>
          <cell r="C80" t="str">
            <v>Ex.</v>
          </cell>
          <cell r="E80" t="str">
            <v>Ex.</v>
          </cell>
        </row>
        <row r="81">
          <cell r="A81" t="str">
            <v>3911.20.01</v>
          </cell>
          <cell r="B81" t="str">
            <v>Poli(1,3-fenilen metilfosfonato).</v>
          </cell>
          <cell r="C81" t="str">
            <v>Ex.</v>
          </cell>
          <cell r="E81" t="str">
            <v>Ex.</v>
          </cell>
        </row>
        <row r="82">
          <cell r="A82" t="str">
            <v>3911.90.99</v>
          </cell>
          <cell r="B82" t="str">
            <v>Los demás.</v>
          </cell>
          <cell r="C82" t="str">
            <v>Ex.</v>
          </cell>
          <cell r="E82" t="str">
            <v>Ex.</v>
          </cell>
        </row>
        <row r="83">
          <cell r="A83" t="str">
            <v>3913.90.02</v>
          </cell>
          <cell r="B83" t="str">
            <v>Esponjas celulósicas.</v>
          </cell>
          <cell r="C83" t="str">
            <v>Ex.</v>
          </cell>
          <cell r="E83" t="str">
            <v>Ex.</v>
          </cell>
        </row>
        <row r="84">
          <cell r="A84" t="str">
            <v>3914.00.01</v>
          </cell>
          <cell r="B84" t="str">
            <v>Intercambiadores de iones, del tipo catiónico.</v>
          </cell>
          <cell r="C84" t="str">
            <v>Ex.</v>
          </cell>
          <cell r="E84" t="str">
            <v>Ex.</v>
          </cell>
        </row>
        <row r="85">
          <cell r="A85" t="str">
            <v>3915.90.99</v>
          </cell>
          <cell r="B85" t="str">
            <v>Los demás.</v>
          </cell>
          <cell r="C85" t="str">
            <v>Ex.</v>
          </cell>
          <cell r="D85" t="str">
            <v>Excepto: Desechos, desperdicios y recortes de poli (tereftalato de etileno) (PET).</v>
          </cell>
          <cell r="E85" t="str">
            <v>Ex.Excepto: Desechos, desperdicios y recortes de poli (tereftalato de etileno) (PET).</v>
          </cell>
        </row>
        <row r="86">
          <cell r="A86" t="str">
            <v>3917.33.01</v>
          </cell>
          <cell r="B86" t="str">
            <v>Tubería de materias plásticas artificiales, hasta de 20 mm de diámetro exterior, con goteras integradas, para riego agrícola.</v>
          </cell>
          <cell r="C86" t="str">
            <v>Ex.</v>
          </cell>
          <cell r="E86" t="str">
            <v>Ex.</v>
          </cell>
        </row>
        <row r="87">
          <cell r="A87" t="str">
            <v>3917.33.99</v>
          </cell>
          <cell r="B87" t="str">
            <v>Los demás.</v>
          </cell>
          <cell r="C87" t="str">
            <v>Ex.</v>
          </cell>
          <cell r="E87" t="str">
            <v>Ex.</v>
          </cell>
        </row>
        <row r="88">
          <cell r="A88" t="str">
            <v>3918.10.02</v>
          </cell>
          <cell r="B88" t="str">
            <v>De polímeros de cloruro de vinilo.</v>
          </cell>
          <cell r="C88" t="str">
            <v>Ex.</v>
          </cell>
          <cell r="E88" t="str">
            <v>Ex.</v>
          </cell>
        </row>
        <row r="89">
          <cell r="A89" t="str">
            <v>3918.90.91</v>
          </cell>
          <cell r="B89" t="str">
            <v>De los demás plásticos.</v>
          </cell>
          <cell r="C89" t="str">
            <v>Ex.</v>
          </cell>
          <cell r="E89" t="str">
            <v>Ex.</v>
          </cell>
        </row>
        <row r="90">
          <cell r="A90" t="str">
            <v>3921.11.01</v>
          </cell>
          <cell r="B90" t="str">
            <v>De polímeros de estireno.</v>
          </cell>
          <cell r="C90" t="str">
            <v>Ex.</v>
          </cell>
          <cell r="E90" t="str">
            <v>Ex.</v>
          </cell>
        </row>
        <row r="91">
          <cell r="A91" t="str">
            <v>3922.10.01</v>
          </cell>
          <cell r="B91" t="str">
            <v>Bañeras, duchas, fregaderos y lavabos.</v>
          </cell>
          <cell r="C91" t="str">
            <v>Ex.</v>
          </cell>
          <cell r="E91" t="str">
            <v>Ex.</v>
          </cell>
        </row>
        <row r="92">
          <cell r="A92" t="str">
            <v>3922.90.99</v>
          </cell>
          <cell r="B92" t="str">
            <v>Los demás.</v>
          </cell>
          <cell r="C92" t="str">
            <v>Ex.</v>
          </cell>
          <cell r="E92" t="str">
            <v>Ex.</v>
          </cell>
        </row>
        <row r="93">
          <cell r="A93" t="str">
            <v>3923.10.03</v>
          </cell>
          <cell r="B93" t="str">
            <v>Cajas, cajones, jaulas y artículos similares.</v>
          </cell>
          <cell r="C93" t="str">
            <v>Ex.</v>
          </cell>
          <cell r="E93" t="str">
            <v>Ex.</v>
          </cell>
        </row>
        <row r="94">
          <cell r="A94" t="str">
            <v>3923.30.02</v>
          </cell>
          <cell r="B94" t="str">
            <v>Bombonas (damajuanas), botellas, frascos y artículos similares.</v>
          </cell>
          <cell r="C94" t="str">
            <v>Ex.</v>
          </cell>
          <cell r="E94" t="str">
            <v>Ex.</v>
          </cell>
        </row>
        <row r="95">
          <cell r="A95" t="str">
            <v>3923.40.99</v>
          </cell>
          <cell r="B95" t="str">
            <v>Los demás.</v>
          </cell>
          <cell r="C95" t="str">
            <v>Ex.</v>
          </cell>
          <cell r="E95" t="str">
            <v>Ex.</v>
          </cell>
        </row>
        <row r="96">
          <cell r="A96" t="str">
            <v>3923.50.01</v>
          </cell>
          <cell r="B96" t="str">
            <v>Tapones, tapas, cápsulas y demás dispositivos de cierre.</v>
          </cell>
          <cell r="C96" t="str">
            <v>Ex.</v>
          </cell>
          <cell r="E96" t="str">
            <v>Ex.</v>
          </cell>
        </row>
        <row r="97">
          <cell r="A97" t="str">
            <v>3923.90.99</v>
          </cell>
          <cell r="B97" t="str">
            <v>Los demás.</v>
          </cell>
          <cell r="C97" t="str">
            <v>Ex.</v>
          </cell>
          <cell r="E97" t="str">
            <v>Ex.</v>
          </cell>
        </row>
        <row r="98">
          <cell r="A98" t="str">
            <v>3924.90.99</v>
          </cell>
          <cell r="B98" t="str">
            <v>Los demás.</v>
          </cell>
          <cell r="C98" t="str">
            <v>Ex.</v>
          </cell>
          <cell r="E98" t="str">
            <v>Ex.</v>
          </cell>
        </row>
        <row r="99">
          <cell r="A99" t="str">
            <v>3925.10.01</v>
          </cell>
          <cell r="B99" t="str">
            <v>Depósitos, cisternas, cubas y recipientes análogos, de capacidad superior a 300 l.</v>
          </cell>
          <cell r="C99" t="str">
            <v>Ex.</v>
          </cell>
          <cell r="E99" t="str">
            <v>Ex.</v>
          </cell>
        </row>
        <row r="100">
          <cell r="A100" t="str">
            <v>3925.30.01</v>
          </cell>
          <cell r="B100" t="str">
            <v>Contraventanas, persianas (incluidas las venecianas) y artículos similares, y sus partes.</v>
          </cell>
          <cell r="C100" t="str">
            <v>Ex.</v>
          </cell>
          <cell r="E100" t="str">
            <v>Ex.</v>
          </cell>
        </row>
        <row r="101">
          <cell r="A101" t="str">
            <v>3925.90.99</v>
          </cell>
          <cell r="B101" t="str">
            <v>Los demás.</v>
          </cell>
          <cell r="C101" t="str">
            <v>Ex.</v>
          </cell>
          <cell r="E101" t="str">
            <v>Ex.</v>
          </cell>
        </row>
        <row r="102">
          <cell r="A102" t="str">
            <v>3926.10.01</v>
          </cell>
          <cell r="B102" t="str">
            <v>Artículos de oficina y artículos escolares.</v>
          </cell>
          <cell r="C102" t="str">
            <v>Ex.</v>
          </cell>
          <cell r="E102" t="str">
            <v>Ex.</v>
          </cell>
        </row>
        <row r="103">
          <cell r="A103" t="str">
            <v>3926.20.99</v>
          </cell>
          <cell r="B103" t="str">
            <v>Los demás.</v>
          </cell>
          <cell r="C103" t="str">
            <v>Ex.</v>
          </cell>
          <cell r="D103" t="str">
            <v>Excepto: Ballenas para corsés, para prendas de vestir o para accesorios del vestido y análogos.</v>
          </cell>
          <cell r="E103" t="str">
            <v>Ex.Excepto: Ballenas para corsés, para prendas de vestir o para accesorios del vestido y análogos.</v>
          </cell>
        </row>
        <row r="104">
          <cell r="A104" t="str">
            <v>3926.30.02</v>
          </cell>
          <cell r="B104" t="str">
            <v>Guarniciones para muebles, carrocerías o similares.</v>
          </cell>
          <cell r="C104" t="str">
            <v>Ex.</v>
          </cell>
          <cell r="D104" t="str">
            <v>Excepto: Molduras para carrocerías.</v>
          </cell>
          <cell r="E104" t="str">
            <v>Ex.Excepto: Molduras para carrocerías.</v>
          </cell>
        </row>
        <row r="105">
          <cell r="A105" t="str">
            <v>3926.90.07</v>
          </cell>
          <cell r="B105" t="str">
            <v>Modelos o patrones.</v>
          </cell>
          <cell r="C105" t="str">
            <v>Ex.</v>
          </cell>
          <cell r="E105" t="str">
            <v>Ex.</v>
          </cell>
        </row>
        <row r="106">
          <cell r="A106" t="str">
            <v>3926.90.11</v>
          </cell>
          <cell r="B106" t="str">
            <v>Protectores para el sentido auditivo.</v>
          </cell>
          <cell r="C106" t="str">
            <v>Ex.</v>
          </cell>
          <cell r="E106" t="str">
            <v>Ex.</v>
          </cell>
        </row>
        <row r="107">
          <cell r="A107" t="str">
            <v>3926.90.13</v>
          </cell>
          <cell r="B107" t="str">
            <v>Letras, números o signos.</v>
          </cell>
          <cell r="C107" t="str">
            <v>Ex.</v>
          </cell>
          <cell r="E107" t="str">
            <v>Ex.</v>
          </cell>
        </row>
        <row r="108">
          <cell r="A108" t="str">
            <v>3926.90.14</v>
          </cell>
          <cell r="B108" t="str">
            <v>Cinchos fijadores o abrazaderas, excepto lo reconocible como diseñados exclusivamente para uso automotriz.</v>
          </cell>
          <cell r="C108" t="str">
            <v>Ex.</v>
          </cell>
          <cell r="E108" t="str">
            <v>Ex.</v>
          </cell>
        </row>
        <row r="109">
          <cell r="A109" t="str">
            <v>3926.90.18</v>
          </cell>
          <cell r="B109" t="str">
            <v>Marcas para asfalto, postes reflejantes y/o dispositivos de advertencia (triángulos de seguridad), de resina plástica, para la señalización vial.</v>
          </cell>
          <cell r="C109" t="str">
            <v>Ex.</v>
          </cell>
          <cell r="E109" t="str">
            <v>Ex.</v>
          </cell>
        </row>
        <row r="110">
          <cell r="A110" t="str">
            <v>3926.90.19</v>
          </cell>
          <cell r="B110" t="str">
            <v>Abanicos o sus partes.</v>
          </cell>
          <cell r="C110" t="str">
            <v>Ex.</v>
          </cell>
          <cell r="E110" t="str">
            <v>Ex.</v>
          </cell>
        </row>
        <row r="111">
          <cell r="A111" t="str">
            <v>3926.90.20</v>
          </cell>
          <cell r="B111" t="str">
            <v>Emblemas, para vehículos automóviles.</v>
          </cell>
          <cell r="C111" t="str">
            <v>Ex.</v>
          </cell>
          <cell r="E111" t="str">
            <v>Ex.</v>
          </cell>
        </row>
        <row r="112">
          <cell r="A112" t="str">
            <v>3926.90.24</v>
          </cell>
          <cell r="B112" t="str">
            <v>Diablos o tacos (pigs) de poliuretanos con diámetro hasta de 122 cm, para la limpieza interior de tuberías, aun cuando estén recubiertos con banda de caucho, con incrustaciones de carburo de tungsteno o cerdas de acero.</v>
          </cell>
          <cell r="C112" t="str">
            <v>Ex.</v>
          </cell>
          <cell r="E112" t="str">
            <v>Ex.</v>
          </cell>
        </row>
        <row r="113">
          <cell r="A113" t="str">
            <v>3926.90.27</v>
          </cell>
          <cell r="B113" t="str">
            <v>Láminas perforadas o troqueladas de poli(etileno) y/o poli(propileno), aun cuando estén coloreadas, metalizadas o laqueadas.</v>
          </cell>
          <cell r="C113" t="str">
            <v>Ex.</v>
          </cell>
          <cell r="E113" t="str">
            <v>Ex.</v>
          </cell>
        </row>
        <row r="114">
          <cell r="A114" t="str">
            <v>3926.90.29</v>
          </cell>
          <cell r="B114" t="str">
            <v>Embudos.</v>
          </cell>
          <cell r="C114" t="str">
            <v>Ex.</v>
          </cell>
          <cell r="E114" t="str">
            <v>Ex.</v>
          </cell>
        </row>
        <row r="115">
          <cell r="A115" t="str">
            <v>4002.11.02</v>
          </cell>
          <cell r="B115" t="str">
            <v>Látex frío de poli(butadieno-estireno), con un contenido de sólidos superior o igual al 38% pero inferior o igual al 41% o superior o igual al 67% pero inferior al 69%, de estireno combinado superior o igual al 21.5% pero inferior o igual al 25.5%, de estireno residual inferior o igual 0.1%.</v>
          </cell>
          <cell r="C115" t="str">
            <v>Ex.</v>
          </cell>
          <cell r="E115" t="str">
            <v>Ex.</v>
          </cell>
        </row>
        <row r="116">
          <cell r="A116" t="str">
            <v>4002.11.99</v>
          </cell>
          <cell r="B116" t="str">
            <v>Los demás.</v>
          </cell>
          <cell r="C116" t="str">
            <v>Ex.</v>
          </cell>
          <cell r="D116" t="str">
            <v>Excepto: De poli(butadieno-estireno) incluso modificados con ácidos carboxílicos, así como los prevulcanizados.</v>
          </cell>
          <cell r="E116" t="str">
            <v>Ex.Excepto: De poli(butadieno-estireno) incluso modificados con ácidos carboxílicos, así como los prevulcanizados.</v>
          </cell>
        </row>
        <row r="117">
          <cell r="A117" t="str">
            <v>4002.19.02</v>
          </cell>
          <cell r="B117" t="str">
            <v>Poli(butadieno-estireno), excepto lo comprendido en la fracción arancelaria 4002.19.01.</v>
          </cell>
          <cell r="C117" t="str">
            <v>Ex.</v>
          </cell>
          <cell r="E117" t="str">
            <v>Ex.</v>
          </cell>
        </row>
        <row r="118">
          <cell r="A118" t="str">
            <v>4002.19.99</v>
          </cell>
          <cell r="B118" t="str">
            <v>Los demás.</v>
          </cell>
          <cell r="C118" t="str">
            <v>Ex.</v>
          </cell>
          <cell r="E118" t="str">
            <v>Ex.</v>
          </cell>
        </row>
        <row r="119">
          <cell r="A119" t="str">
            <v>4002.39.99</v>
          </cell>
          <cell r="B119" t="str">
            <v>Los demás.</v>
          </cell>
          <cell r="C119" t="str">
            <v>Ex.</v>
          </cell>
          <cell r="E119" t="str">
            <v>Ex.</v>
          </cell>
        </row>
        <row r="120">
          <cell r="A120" t="str">
            <v>4002.59.01</v>
          </cell>
          <cell r="B120" t="str">
            <v>Poli(butadieno-acrilonitrilo) con un contenido de acrilonitrilo superior o igual al 45%.</v>
          </cell>
          <cell r="C120" t="str">
            <v>Ex.</v>
          </cell>
          <cell r="E120" t="str">
            <v>Ex.</v>
          </cell>
        </row>
        <row r="121">
          <cell r="A121" t="str">
            <v>4006.90.02</v>
          </cell>
          <cell r="B121" t="str">
            <v>Parches.</v>
          </cell>
          <cell r="C121" t="str">
            <v>Ex.</v>
          </cell>
          <cell r="E121" t="str">
            <v>Ex.</v>
          </cell>
        </row>
        <row r="122">
          <cell r="A122" t="str">
            <v>4006.90.99</v>
          </cell>
          <cell r="B122" t="str">
            <v>Los demás.</v>
          </cell>
          <cell r="C122" t="str">
            <v>Ex.</v>
          </cell>
          <cell r="E122" t="str">
            <v>Ex.</v>
          </cell>
        </row>
        <row r="123">
          <cell r="A123" t="str">
            <v>4011.70.99</v>
          </cell>
          <cell r="B123" t="str">
            <v>Los demás.</v>
          </cell>
          <cell r="C123" t="str">
            <v>Ex.</v>
          </cell>
          <cell r="E123" t="str">
            <v>Ex.</v>
          </cell>
        </row>
        <row r="124">
          <cell r="A124" t="str">
            <v>4011.80.93</v>
          </cell>
          <cell r="B124" t="str">
            <v>Los demás, para rines.</v>
          </cell>
          <cell r="C124" t="str">
            <v>Ex.</v>
          </cell>
          <cell r="E124" t="str">
            <v>Ex.</v>
          </cell>
        </row>
        <row r="125">
          <cell r="A125" t="str">
            <v>4011.90.99</v>
          </cell>
          <cell r="B125" t="str">
            <v>Los demás.</v>
          </cell>
          <cell r="C125" t="str">
            <v>Ex.</v>
          </cell>
          <cell r="E125" t="str">
            <v>Ex.</v>
          </cell>
        </row>
        <row r="126">
          <cell r="A126" t="str">
            <v>4015.12.99</v>
          </cell>
          <cell r="B126" t="str">
            <v>Los demás.</v>
          </cell>
          <cell r="C126" t="str">
            <v>Ex.</v>
          </cell>
          <cell r="E126" t="str">
            <v>Ex.</v>
          </cell>
        </row>
        <row r="127">
          <cell r="A127" t="str">
            <v>4015.19.99</v>
          </cell>
          <cell r="B127" t="str">
            <v>Los demás.</v>
          </cell>
          <cell r="C127" t="str">
            <v>Ex.</v>
          </cell>
          <cell r="E127" t="str">
            <v>Ex.</v>
          </cell>
        </row>
        <row r="128">
          <cell r="A128" t="str">
            <v>4015.90.99</v>
          </cell>
          <cell r="B128" t="str">
            <v>Los demás.</v>
          </cell>
          <cell r="C128" t="str">
            <v>Ex.</v>
          </cell>
          <cell r="D128" t="str">
            <v>Excepto: Trajes para bucear (de buzo).</v>
          </cell>
          <cell r="E128" t="str">
            <v>Ex.Excepto: Trajes para bucear (de buzo).</v>
          </cell>
        </row>
        <row r="129">
          <cell r="A129" t="str">
            <v>4016.91.01</v>
          </cell>
          <cell r="B129" t="str">
            <v>Revestimientos para el suelo y alfombras.</v>
          </cell>
          <cell r="C129" t="str">
            <v>Ex.</v>
          </cell>
          <cell r="E129" t="str">
            <v>Ex.</v>
          </cell>
        </row>
        <row r="130">
          <cell r="A130" t="str">
            <v>4016.92.99</v>
          </cell>
          <cell r="B130" t="str">
            <v>Las demás.</v>
          </cell>
          <cell r="C130" t="str">
            <v>Ex.</v>
          </cell>
          <cell r="E130" t="str">
            <v>Ex.</v>
          </cell>
        </row>
        <row r="131">
          <cell r="A131" t="str">
            <v>4016.99.01</v>
          </cell>
          <cell r="B131" t="str">
            <v>Arandelas, válvulas u otras piezas de uso técnico, excepto artículos reconocibles como diseñados exclusivamente para ser utilizados en el moldeo de neumáticos nuevos ("Bladers").</v>
          </cell>
          <cell r="C131" t="str">
            <v>Ex.</v>
          </cell>
          <cell r="E131" t="str">
            <v>Ex.</v>
          </cell>
        </row>
        <row r="132">
          <cell r="A132" t="str">
            <v>4016.99.04</v>
          </cell>
          <cell r="B132" t="str">
            <v>Dedales.</v>
          </cell>
          <cell r="C132" t="str">
            <v>Ex.</v>
          </cell>
          <cell r="E132" t="str">
            <v>Ex.</v>
          </cell>
        </row>
        <row r="133">
          <cell r="A133" t="str">
            <v>4409.22.01</v>
          </cell>
          <cell r="B133" t="str">
            <v>De maderas tropicales.</v>
          </cell>
          <cell r="C133" t="str">
            <v>Ex.</v>
          </cell>
          <cell r="E133" t="str">
            <v>Ex.</v>
          </cell>
        </row>
        <row r="134">
          <cell r="A134" t="str">
            <v>4409.29.99</v>
          </cell>
          <cell r="B134" t="str">
            <v>Los demás.</v>
          </cell>
          <cell r="C134" t="str">
            <v>Ex.</v>
          </cell>
          <cell r="D134" t="str">
            <v>Excepto: Listones y molduras para muebles, marcos, decorados interiores, conducciones eléctricas y análogos.</v>
          </cell>
          <cell r="E134" t="str">
            <v>Ex.Excepto: Listones y molduras para muebles, marcos, decorados interiores, conducciones eléctricas y análogos.</v>
          </cell>
        </row>
        <row r="135">
          <cell r="A135" t="str">
            <v>4410.11.04</v>
          </cell>
          <cell r="B135" t="str">
            <v>Tableros de partículas.</v>
          </cell>
          <cell r="C135" t="str">
            <v>Ex.</v>
          </cell>
          <cell r="D135" t="str">
            <v>Únicamente: Recubiertos en la superficie con placas u hojas decorativas estratificadas de plástico.</v>
          </cell>
          <cell r="E135" t="str">
            <v>Ex.Únicamente: Recubiertos en la superficie con placas u hojas decorativas estratificadas de plástico.</v>
          </cell>
        </row>
        <row r="136">
          <cell r="A136" t="str">
            <v>4421.91.99</v>
          </cell>
          <cell r="B136" t="str">
            <v>Los demás.</v>
          </cell>
          <cell r="C136" t="str">
            <v>Ex.</v>
          </cell>
          <cell r="D136" t="str">
            <v>Excepto: Adoquines.</v>
          </cell>
          <cell r="E136" t="str">
            <v>Ex.Excepto: Adoquines.</v>
          </cell>
        </row>
        <row r="137">
          <cell r="A137" t="str">
            <v>4421.99.99</v>
          </cell>
          <cell r="B137" t="str">
            <v>Las demás.</v>
          </cell>
          <cell r="C137" t="str">
            <v>Ex.</v>
          </cell>
          <cell r="D137" t="str">
            <v>Excepto: Adoquines.</v>
          </cell>
          <cell r="E137" t="str">
            <v>Ex.Excepto: Adoquines.</v>
          </cell>
        </row>
        <row r="138">
          <cell r="A138" t="str">
            <v>5910.00.01</v>
          </cell>
          <cell r="B138" t="str">
            <v>Correas transportadoras o de transmisión, de materia textil, incluso impregnadas, recubiertas, revestidas o estratificadas con plástico o reforzadas con metal u otra materia.</v>
          </cell>
          <cell r="C138" t="str">
            <v>Ex.</v>
          </cell>
          <cell r="E138" t="str">
            <v>Ex.</v>
          </cell>
        </row>
        <row r="139">
          <cell r="A139" t="str">
            <v>5911.90.99</v>
          </cell>
          <cell r="B139" t="str">
            <v>Los demás.</v>
          </cell>
          <cell r="C139" t="str">
            <v>Ex.</v>
          </cell>
          <cell r="D139" t="str">
            <v>Excepto: Tejidos armados con metal, de los tipos comúnmente empleados en usos técnicos.</v>
          </cell>
          <cell r="E139" t="str">
            <v>Ex.Excepto: Tejidos armados con metal, de los tipos comúnmente empleados en usos técnicos.</v>
          </cell>
        </row>
        <row r="140">
          <cell r="A140" t="str">
            <v>6804.30.01</v>
          </cell>
          <cell r="B140" t="str">
            <v>Piedras de afilar o pulir a mano.</v>
          </cell>
          <cell r="C140" t="str">
            <v>Ex.</v>
          </cell>
          <cell r="E140" t="str">
            <v>Ex.</v>
          </cell>
        </row>
        <row r="141">
          <cell r="A141" t="str">
            <v>6805.10.01</v>
          </cell>
          <cell r="B141" t="str">
            <v>Con soporte constituido solamente por tejido de materia textil.</v>
          </cell>
          <cell r="C141" t="str">
            <v>Ex.</v>
          </cell>
          <cell r="E141" t="str">
            <v>Ex.</v>
          </cell>
        </row>
        <row r="142">
          <cell r="A142" t="str">
            <v>6805.20.01</v>
          </cell>
          <cell r="B142" t="str">
            <v>Con soporte constituido solamente por papel o cartón.</v>
          </cell>
          <cell r="C142" t="str">
            <v>Ex.</v>
          </cell>
          <cell r="E142" t="str">
            <v>Ex.</v>
          </cell>
        </row>
        <row r="143">
          <cell r="A143" t="str">
            <v>6805.30.01</v>
          </cell>
          <cell r="B143" t="str">
            <v>Con soporte de otras materias.</v>
          </cell>
          <cell r="C143" t="str">
            <v>Ex.</v>
          </cell>
          <cell r="E143" t="str">
            <v>Ex.</v>
          </cell>
        </row>
        <row r="144">
          <cell r="A144" t="str">
            <v>6815.11.01</v>
          </cell>
          <cell r="B144" t="str">
            <v>Fibras de carbono.</v>
          </cell>
          <cell r="C144" t="str">
            <v>Ex.</v>
          </cell>
          <cell r="E144" t="str">
            <v>Ex.</v>
          </cell>
        </row>
        <row r="145">
          <cell r="A145" t="str">
            <v>6815.12.01</v>
          </cell>
          <cell r="B145" t="str">
            <v>Textiles de fibras de carbono.</v>
          </cell>
          <cell r="C145" t="str">
            <v>Ex.</v>
          </cell>
          <cell r="E145" t="str">
            <v>Ex.</v>
          </cell>
        </row>
        <row r="146">
          <cell r="A146" t="str">
            <v>6815.13.91</v>
          </cell>
          <cell r="B146" t="str">
            <v>Las demás manufacturas de fibras de carbono.</v>
          </cell>
          <cell r="C146" t="str">
            <v>Ex.</v>
          </cell>
          <cell r="E146" t="str">
            <v>Ex.</v>
          </cell>
        </row>
        <row r="147">
          <cell r="A147" t="str">
            <v>6815.19.99</v>
          </cell>
          <cell r="B147" t="str">
            <v>Las demás.</v>
          </cell>
          <cell r="C147" t="str">
            <v>Ex.</v>
          </cell>
          <cell r="E147" t="str">
            <v>Ex.</v>
          </cell>
        </row>
        <row r="148">
          <cell r="A148" t="str">
            <v>6815.91.99</v>
          </cell>
          <cell r="B148" t="str">
            <v>Las demás.</v>
          </cell>
          <cell r="C148" t="str">
            <v>Ex.</v>
          </cell>
          <cell r="E148" t="str">
            <v>Ex.</v>
          </cell>
        </row>
        <row r="149">
          <cell r="A149" t="str">
            <v>6815.99.99</v>
          </cell>
          <cell r="B149" t="str">
            <v>Las demás.</v>
          </cell>
          <cell r="C149" t="str">
            <v>Ex.</v>
          </cell>
          <cell r="E149" t="str">
            <v>Ex.</v>
          </cell>
        </row>
        <row r="150">
          <cell r="A150" t="str">
            <v>6906.00.01</v>
          </cell>
          <cell r="B150" t="str">
            <v>Tubos, canalones y accesorios de tubería, de cerámica.</v>
          </cell>
          <cell r="C150" t="str">
            <v>Ex.</v>
          </cell>
          <cell r="E150" t="str">
            <v>Ex.</v>
          </cell>
        </row>
        <row r="151">
          <cell r="A151" t="str">
            <v>6914.90.99</v>
          </cell>
          <cell r="B151" t="str">
            <v>Las demás.</v>
          </cell>
          <cell r="C151" t="str">
            <v>Ex.</v>
          </cell>
          <cell r="E151" t="str">
            <v>Ex.</v>
          </cell>
        </row>
        <row r="152">
          <cell r="A152" t="str">
            <v>7007.19.99</v>
          </cell>
          <cell r="B152" t="str">
            <v>Los demás.</v>
          </cell>
          <cell r="C152" t="str">
            <v>Ex.</v>
          </cell>
          <cell r="E152" t="str">
            <v>Ex.</v>
          </cell>
        </row>
        <row r="153">
          <cell r="A153" t="str">
            <v>7007.29.99</v>
          </cell>
          <cell r="B153" t="str">
            <v>Los demás.</v>
          </cell>
          <cell r="C153" t="str">
            <v>Ex.</v>
          </cell>
          <cell r="E153" t="str">
            <v>Ex.</v>
          </cell>
        </row>
        <row r="154">
          <cell r="A154" t="str">
            <v>7009.10.99</v>
          </cell>
          <cell r="B154" t="str">
            <v>Los demás.</v>
          </cell>
          <cell r="C154" t="str">
            <v>Ex.</v>
          </cell>
          <cell r="D154" t="str">
            <v>Excepto: Con control remoto; con marco de uso automotriz y/o deportivos.</v>
          </cell>
          <cell r="E154" t="str">
            <v>Ex.Excepto: Con control remoto; con marco de uso automotriz y/o deportivos.</v>
          </cell>
        </row>
        <row r="155">
          <cell r="A155" t="str">
            <v>7009.91.99</v>
          </cell>
          <cell r="B155" t="str">
            <v>Los demás.</v>
          </cell>
          <cell r="C155" t="str">
            <v>Ex.</v>
          </cell>
          <cell r="E155" t="str">
            <v>Ex.</v>
          </cell>
        </row>
        <row r="156">
          <cell r="A156" t="str">
            <v>7009.92.01</v>
          </cell>
          <cell r="B156" t="str">
            <v>Enmarcados.</v>
          </cell>
          <cell r="C156" t="str">
            <v>Ex.</v>
          </cell>
          <cell r="E156" t="str">
            <v>Ex.</v>
          </cell>
        </row>
        <row r="157">
          <cell r="A157" t="str">
            <v>7308.30.02</v>
          </cell>
          <cell r="B157" t="str">
            <v>Puertas y ventanas y sus marcos, contramarcos y umbrales.</v>
          </cell>
          <cell r="C157" t="str">
            <v>Ex.</v>
          </cell>
          <cell r="D157" t="str">
            <v>Únicamente: Puertas, ventanas y sus marcos.</v>
          </cell>
          <cell r="E157" t="str">
            <v>Ex.Únicamente: Puertas, ventanas y sus marcos.</v>
          </cell>
        </row>
        <row r="158">
          <cell r="A158" t="str">
            <v>7312.10.05</v>
          </cell>
          <cell r="B158" t="str">
            <v>De acero sin recubrimiento, con o sin lubricación, excepto los comprendidos en la fracción arancelaria 7312.10.08.</v>
          </cell>
          <cell r="C158" t="str">
            <v>Ex.</v>
          </cell>
          <cell r="E158" t="str">
            <v>Ex.</v>
          </cell>
        </row>
        <row r="159">
          <cell r="A159" t="str">
            <v>7317.00.01</v>
          </cell>
          <cell r="B159" t="str">
            <v>Clavos para herrar.</v>
          </cell>
          <cell r="C159" t="str">
            <v>Ex.</v>
          </cell>
          <cell r="E159" t="str">
            <v>Ex.</v>
          </cell>
        </row>
        <row r="160">
          <cell r="A160" t="str">
            <v>7317.00.99</v>
          </cell>
          <cell r="B160" t="str">
            <v>Los demás.</v>
          </cell>
          <cell r="C160" t="str">
            <v>Ex.</v>
          </cell>
          <cell r="E160" t="str">
            <v>Ex.</v>
          </cell>
        </row>
        <row r="161">
          <cell r="A161" t="str">
            <v>7318.15.04</v>
          </cell>
          <cell r="B161" t="str">
            <v>Tornillos con diámetro inferior a 6.4 mm (¼ pulgada) y longitud inferior a 50.8 mm (2 pulgadas), excepto las de acero inoxidable y las reconocibles para naves aéreas o uso automotriz.</v>
          </cell>
          <cell r="C161" t="str">
            <v>Ex.</v>
          </cell>
          <cell r="E161" t="str">
            <v>Ex.</v>
          </cell>
        </row>
        <row r="162">
          <cell r="A162" t="str">
            <v>7319.90.99</v>
          </cell>
          <cell r="B162" t="str">
            <v>Los demás.</v>
          </cell>
          <cell r="C162" t="str">
            <v>Ex.</v>
          </cell>
          <cell r="E162" t="str">
            <v>Ex.</v>
          </cell>
        </row>
        <row r="163">
          <cell r="A163" t="str">
            <v>7321.90.99</v>
          </cell>
          <cell r="B163" t="str">
            <v>Los demás.</v>
          </cell>
          <cell r="C163" t="str">
            <v>Ex.</v>
          </cell>
          <cell r="E163" t="str">
            <v>Ex.</v>
          </cell>
        </row>
        <row r="164">
          <cell r="A164" t="str">
            <v>7323.93.05</v>
          </cell>
          <cell r="B164" t="str">
            <v>De acero inoxidable.</v>
          </cell>
          <cell r="C164" t="str">
            <v>Ex.</v>
          </cell>
          <cell r="D164" t="str">
            <v>Excepto: Moldes, distribuidores de toallas, sifones automáticos (botellas de agua para gaseosa) y partes.</v>
          </cell>
          <cell r="E164" t="str">
            <v>Ex.Excepto: Moldes, distribuidores de toallas, sifones automáticos (botellas de agua para gaseosa) y partes.</v>
          </cell>
        </row>
        <row r="165">
          <cell r="A165" t="str">
            <v>7324.90.91</v>
          </cell>
          <cell r="B165" t="str">
            <v>Los demás, incluidas las partes.</v>
          </cell>
          <cell r="C165" t="str">
            <v>Ex.</v>
          </cell>
          <cell r="D165" t="str">
            <v>Excepto: Partes; distribuidores de toallas; cómodos, urinales o riñoneras.</v>
          </cell>
          <cell r="E165" t="str">
            <v>Ex.Excepto: Partes; distribuidores de toallas; cómodos, urinales o riñoneras.</v>
          </cell>
        </row>
        <row r="166">
          <cell r="A166" t="str">
            <v>7408.11.02</v>
          </cell>
          <cell r="B166" t="str">
            <v>Con la mayor dimensión de la sección transversal superior a 6 mm.</v>
          </cell>
          <cell r="C166" t="str">
            <v>Ex.</v>
          </cell>
          <cell r="D166" t="str">
            <v>Excepto: De sección transversal inferior o igual a 9.5 mm.</v>
          </cell>
          <cell r="E166" t="str">
            <v>Ex.Excepto: De sección transversal inferior o igual a 9.5 mm.</v>
          </cell>
        </row>
        <row r="167">
          <cell r="A167" t="str">
            <v>7408.19.99</v>
          </cell>
          <cell r="B167" t="str">
            <v>Los demás.</v>
          </cell>
          <cell r="C167" t="str">
            <v>Ex.</v>
          </cell>
          <cell r="E167" t="str">
            <v>Ex.</v>
          </cell>
        </row>
        <row r="168">
          <cell r="A168" t="str">
            <v>7408.22.01</v>
          </cell>
          <cell r="B168" t="str">
            <v>A base de cobre-níquel (cuproníquel) de cualquier diámetro, o a base de cobre-níquel-cinc (alpaca) de diámetro superior o igual a 0.5 mm.</v>
          </cell>
          <cell r="C168" t="str">
            <v>Ex.</v>
          </cell>
          <cell r="E168" t="str">
            <v>Ex.</v>
          </cell>
        </row>
        <row r="169">
          <cell r="A169" t="str">
            <v>7411.10.01</v>
          </cell>
          <cell r="B169" t="str">
            <v>Con espesor de pared inferior o igual a 3 mm, excepto serpentines.</v>
          </cell>
          <cell r="C169" t="str">
            <v>Ex.</v>
          </cell>
          <cell r="E169" t="str">
            <v>Ex.</v>
          </cell>
        </row>
        <row r="170">
          <cell r="A170" t="str">
            <v>7411.21.01</v>
          </cell>
          <cell r="B170" t="str">
            <v>Con espesor de pared inferior o igual a 3 mm, excepto serpentines y lo comprendido en la fracción arancelaria 7411.21.05.</v>
          </cell>
          <cell r="C170" t="str">
            <v>Ex.</v>
          </cell>
          <cell r="E170" t="str">
            <v>Ex.</v>
          </cell>
        </row>
        <row r="171">
          <cell r="A171" t="str">
            <v>7411.29.01</v>
          </cell>
          <cell r="B171" t="str">
            <v>Con espesor de pared inferior o igual a 3 mm, excepto serpentines.</v>
          </cell>
          <cell r="C171" t="str">
            <v>Ex.</v>
          </cell>
          <cell r="E171" t="str">
            <v>Ex.</v>
          </cell>
        </row>
        <row r="172">
          <cell r="A172" t="str">
            <v>7412.20.01</v>
          </cell>
          <cell r="B172" t="str">
            <v>De aleaciones de cobre.</v>
          </cell>
          <cell r="C172" t="str">
            <v>Ex.</v>
          </cell>
          <cell r="E172" t="str">
            <v>Ex.</v>
          </cell>
        </row>
        <row r="173">
          <cell r="A173" t="str">
            <v>7413.00.02</v>
          </cell>
          <cell r="B173" t="str">
            <v>Cables, trenzas y artículos similares, de cobre, sin aislar para electricidad.</v>
          </cell>
          <cell r="C173" t="str">
            <v>Ex.</v>
          </cell>
          <cell r="D173" t="str">
            <v>Excepto: Con alma de hierro.</v>
          </cell>
          <cell r="E173" t="str">
            <v>Ex.Excepto: Con alma de hierro.</v>
          </cell>
        </row>
        <row r="174">
          <cell r="A174" t="str">
            <v>7418.10.01</v>
          </cell>
          <cell r="B174" t="str">
            <v>Artículos de uso doméstico y sus partes; esponjas, estropajos, guantes y artículos similares para fregar, lustrar o usos análogos.</v>
          </cell>
          <cell r="C174" t="str">
            <v>Ex.</v>
          </cell>
          <cell r="E174" t="str">
            <v>Ex.</v>
          </cell>
        </row>
        <row r="175">
          <cell r="A175" t="str">
            <v>7419.20.02</v>
          </cell>
          <cell r="B175" t="str">
            <v>Terminales para cables.</v>
          </cell>
          <cell r="C175" t="str">
            <v>Ex.</v>
          </cell>
          <cell r="E175" t="str">
            <v>Ex.</v>
          </cell>
        </row>
        <row r="176">
          <cell r="A176" t="str">
            <v>7419.20.99</v>
          </cell>
          <cell r="B176" t="str">
            <v>Los demás.</v>
          </cell>
          <cell r="C176" t="str">
            <v>Ex.</v>
          </cell>
          <cell r="E176" t="str">
            <v>Ex.</v>
          </cell>
        </row>
        <row r="177">
          <cell r="A177" t="str">
            <v>7419.80.02</v>
          </cell>
          <cell r="B177" t="str">
            <v>Terminales para cables.</v>
          </cell>
          <cell r="C177" t="str">
            <v>Ex.</v>
          </cell>
          <cell r="E177" t="str">
            <v>Ex.</v>
          </cell>
        </row>
        <row r="178">
          <cell r="A178" t="str">
            <v>7604.10.02</v>
          </cell>
          <cell r="B178" t="str">
            <v>Perfiles.</v>
          </cell>
          <cell r="C178" t="str">
            <v>Ex.</v>
          </cell>
          <cell r="E178" t="str">
            <v>Ex.</v>
          </cell>
        </row>
        <row r="179">
          <cell r="A179" t="str">
            <v>7604.10.99</v>
          </cell>
          <cell r="B179" t="str">
            <v>Los demás.</v>
          </cell>
          <cell r="C179" t="str">
            <v>Ex.</v>
          </cell>
          <cell r="E179" t="str">
            <v>Ex.</v>
          </cell>
        </row>
        <row r="180">
          <cell r="A180" t="str">
            <v>7605.11.99</v>
          </cell>
          <cell r="B180" t="str">
            <v>Los demás.</v>
          </cell>
          <cell r="C180" t="str">
            <v>Ex.</v>
          </cell>
          <cell r="E180" t="str">
            <v>Ex.</v>
          </cell>
        </row>
        <row r="181">
          <cell r="A181" t="str">
            <v>7605.19.99</v>
          </cell>
          <cell r="B181" t="str">
            <v>Los demás.</v>
          </cell>
          <cell r="C181" t="str">
            <v>Ex.</v>
          </cell>
          <cell r="E181" t="str">
            <v>Ex.</v>
          </cell>
        </row>
        <row r="182">
          <cell r="A182" t="str">
            <v>7605.21.99</v>
          </cell>
          <cell r="B182" t="str">
            <v>Los demás.</v>
          </cell>
          <cell r="C182" t="str">
            <v>Ex.</v>
          </cell>
          <cell r="E182" t="str">
            <v>Ex.</v>
          </cell>
        </row>
        <row r="183">
          <cell r="A183" t="str">
            <v>7605.29.99</v>
          </cell>
          <cell r="B183" t="str">
            <v>Los demás.</v>
          </cell>
          <cell r="C183" t="str">
            <v>Ex.</v>
          </cell>
          <cell r="E183" t="str">
            <v>Ex.</v>
          </cell>
        </row>
        <row r="184">
          <cell r="A184" t="str">
            <v>7606.11.99</v>
          </cell>
          <cell r="B184" t="str">
            <v>Los demás.</v>
          </cell>
          <cell r="C184" t="str">
            <v>Ex.</v>
          </cell>
          <cell r="E184" t="str">
            <v>Ex.</v>
          </cell>
        </row>
        <row r="185">
          <cell r="A185" t="str">
            <v>7606.12.99</v>
          </cell>
          <cell r="B185" t="str">
            <v>Los demás.</v>
          </cell>
          <cell r="C185" t="str">
            <v>Ex.</v>
          </cell>
          <cell r="E185" t="str">
            <v>Ex.</v>
          </cell>
        </row>
        <row r="186">
          <cell r="A186" t="str">
            <v>7607.11.01</v>
          </cell>
          <cell r="B186" t="str">
            <v>Simplemente laminadas.</v>
          </cell>
          <cell r="C186" t="str">
            <v>Ex.</v>
          </cell>
          <cell r="E186" t="str">
            <v>Ex.</v>
          </cell>
        </row>
        <row r="187">
          <cell r="A187" t="str">
            <v>7607.19.99</v>
          </cell>
          <cell r="B187" t="str">
            <v>Los demás.</v>
          </cell>
          <cell r="C187" t="str">
            <v>Ex.</v>
          </cell>
          <cell r="E187" t="str">
            <v>Ex.</v>
          </cell>
        </row>
        <row r="188">
          <cell r="A188" t="str">
            <v>7610.90.99</v>
          </cell>
          <cell r="B188" t="str">
            <v>Los demás.</v>
          </cell>
          <cell r="C188" t="str">
            <v>Ex.</v>
          </cell>
          <cell r="E188" t="str">
            <v>Ex.</v>
          </cell>
        </row>
        <row r="189">
          <cell r="A189" t="str">
            <v>7612.90.99</v>
          </cell>
          <cell r="B189" t="str">
            <v>Los demás.</v>
          </cell>
          <cell r="C189" t="str">
            <v>Ex.</v>
          </cell>
          <cell r="E189" t="str">
            <v>Ex.</v>
          </cell>
        </row>
        <row r="190">
          <cell r="A190" t="str">
            <v>7616.10.99</v>
          </cell>
          <cell r="B190" t="str">
            <v>Los demás.</v>
          </cell>
          <cell r="C190" t="str">
            <v>Ex.</v>
          </cell>
          <cell r="E190" t="str">
            <v>Ex.</v>
          </cell>
        </row>
        <row r="191">
          <cell r="A191" t="str">
            <v>7616.91.01</v>
          </cell>
          <cell r="B191" t="str">
            <v>Telas metálicas, redes y rejas, de alambre de aluminio.</v>
          </cell>
          <cell r="C191" t="str">
            <v>Ex.</v>
          </cell>
          <cell r="E191" t="str">
            <v>Ex.</v>
          </cell>
        </row>
        <row r="192">
          <cell r="A192" t="str">
            <v>7616.99.13</v>
          </cell>
          <cell r="B192" t="str">
            <v>Escaleras.</v>
          </cell>
          <cell r="C192" t="str">
            <v>Ex.</v>
          </cell>
          <cell r="E192" t="str">
            <v>Ex.</v>
          </cell>
        </row>
        <row r="193">
          <cell r="A193" t="str">
            <v>7616.99.99</v>
          </cell>
          <cell r="B193" t="str">
            <v>Las demás.</v>
          </cell>
          <cell r="C193" t="str">
            <v>Ex.</v>
          </cell>
          <cell r="E193" t="str">
            <v>Ex.</v>
          </cell>
        </row>
        <row r="194">
          <cell r="A194" t="str">
            <v>8007.00.99</v>
          </cell>
          <cell r="B194" t="str">
            <v>Las demás.</v>
          </cell>
          <cell r="C194" t="str">
            <v>Ex.</v>
          </cell>
          <cell r="E194" t="str">
            <v>Ex.</v>
          </cell>
        </row>
        <row r="195">
          <cell r="A195" t="str">
            <v>8202.10.99</v>
          </cell>
          <cell r="B195" t="str">
            <v>Los demás.</v>
          </cell>
          <cell r="C195" t="str">
            <v>Ex.</v>
          </cell>
          <cell r="E195" t="str">
            <v>Ex.</v>
          </cell>
        </row>
        <row r="196">
          <cell r="A196" t="str">
            <v>8202.31.01</v>
          </cell>
          <cell r="B196" t="str">
            <v>Con diámetro exterior inferior o igual a 800 mm.</v>
          </cell>
          <cell r="C196" t="str">
            <v>Ex.</v>
          </cell>
          <cell r="E196" t="str">
            <v>Ex.</v>
          </cell>
        </row>
        <row r="197">
          <cell r="A197" t="str">
            <v>8202.39.01</v>
          </cell>
          <cell r="B197" t="str">
            <v>Con diámetro inferior o igual a 800 mm, excepto lo comprendido en la fracción arancelaria 8202.39.02.</v>
          </cell>
          <cell r="C197" t="str">
            <v>Ex.</v>
          </cell>
          <cell r="E197" t="str">
            <v>Ex.</v>
          </cell>
        </row>
        <row r="198">
          <cell r="A198" t="str">
            <v>8202.39.99</v>
          </cell>
          <cell r="B198" t="str">
            <v>Las demás.</v>
          </cell>
          <cell r="C198" t="str">
            <v>Ex.</v>
          </cell>
          <cell r="E198" t="str">
            <v>Ex.</v>
          </cell>
        </row>
        <row r="199">
          <cell r="A199" t="str">
            <v>8203.10.99</v>
          </cell>
          <cell r="B199" t="str">
            <v>Las demás.</v>
          </cell>
          <cell r="C199" t="str">
            <v>Ex.</v>
          </cell>
          <cell r="E199" t="str">
            <v>Ex.</v>
          </cell>
        </row>
        <row r="200">
          <cell r="A200" t="str">
            <v>8203.20.99</v>
          </cell>
          <cell r="B200" t="str">
            <v>Los demás.</v>
          </cell>
          <cell r="C200" t="str">
            <v>Ex.</v>
          </cell>
          <cell r="E200" t="str">
            <v>Ex.</v>
          </cell>
        </row>
        <row r="201">
          <cell r="A201" t="str">
            <v>8203.30.01</v>
          </cell>
          <cell r="B201" t="str">
            <v>Cizallas para metales y herramientas similares.</v>
          </cell>
          <cell r="C201" t="str">
            <v>Ex.</v>
          </cell>
          <cell r="E201" t="str">
            <v>Ex.</v>
          </cell>
        </row>
        <row r="202">
          <cell r="A202" t="str">
            <v>8203.40.99</v>
          </cell>
          <cell r="B202" t="str">
            <v>Los demás.</v>
          </cell>
          <cell r="C202" t="str">
            <v>Ex.</v>
          </cell>
          <cell r="E202" t="str">
            <v>Ex.</v>
          </cell>
        </row>
        <row r="203">
          <cell r="A203" t="str">
            <v>8204.11.01</v>
          </cell>
          <cell r="B203" t="str">
            <v>Llaves de palanca con matraca, excepto lo comprendido en la fracción arancelaria 8204.11.02.</v>
          </cell>
          <cell r="C203" t="str">
            <v>Ex.</v>
          </cell>
          <cell r="E203" t="str">
            <v>Ex.</v>
          </cell>
        </row>
        <row r="204">
          <cell r="A204" t="str">
            <v>8204.11.02</v>
          </cell>
          <cell r="B204" t="str">
            <v>Con longitud igual o inferior a 610 mm, para tubos.</v>
          </cell>
          <cell r="C204" t="str">
            <v>Ex.</v>
          </cell>
          <cell r="E204" t="str">
            <v>Ex.</v>
          </cell>
        </row>
        <row r="205">
          <cell r="A205" t="str">
            <v>8204.11.99</v>
          </cell>
          <cell r="B205" t="str">
            <v>Los demás.</v>
          </cell>
          <cell r="C205" t="str">
            <v>Ex.</v>
          </cell>
          <cell r="E205" t="str">
            <v>Ex.</v>
          </cell>
        </row>
        <row r="206">
          <cell r="A206" t="str">
            <v>8204.12.99</v>
          </cell>
          <cell r="B206" t="str">
            <v>Los demás.</v>
          </cell>
          <cell r="C206" t="str">
            <v>Ex.</v>
          </cell>
          <cell r="D206" t="str">
            <v>Excepto: Llaves de ajuste con longitud inferior o igual a 785 mm, para tubos.</v>
          </cell>
          <cell r="E206" t="str">
            <v>Ex.Excepto: Llaves de ajuste con longitud inferior o igual a 785 mm, para tubos.</v>
          </cell>
        </row>
        <row r="207">
          <cell r="A207" t="str">
            <v>8205.10.99</v>
          </cell>
          <cell r="B207" t="str">
            <v>Las demás.</v>
          </cell>
          <cell r="C207" t="str">
            <v>Ex.</v>
          </cell>
          <cell r="D207" t="str">
            <v>Excepto: Manerales para aterrajar, aun cuando se presenten con sus dados (terrajas); Berbiquíes.</v>
          </cell>
          <cell r="E207" t="str">
            <v>Ex.Excepto: Manerales para aterrajar, aun cuando se presenten con sus dados (terrajas); Berbiquíes.</v>
          </cell>
        </row>
        <row r="208">
          <cell r="A208" t="str">
            <v>8205.20.01</v>
          </cell>
          <cell r="B208" t="str">
            <v>Martillos y mazas.</v>
          </cell>
          <cell r="C208" t="str">
            <v>Ex.</v>
          </cell>
          <cell r="E208" t="str">
            <v>Ex.</v>
          </cell>
        </row>
        <row r="209">
          <cell r="A209" t="str">
            <v>8205.40.99</v>
          </cell>
          <cell r="B209" t="str">
            <v>Los demás.</v>
          </cell>
          <cell r="C209" t="str">
            <v>Ex.</v>
          </cell>
          <cell r="E209" t="str">
            <v>Ex.</v>
          </cell>
        </row>
        <row r="210">
          <cell r="A210" t="str">
            <v>8205.59.99</v>
          </cell>
          <cell r="B210" t="str">
            <v>Las demás.</v>
          </cell>
          <cell r="C210" t="str">
            <v>Ex.</v>
          </cell>
          <cell r="D210" t="str">
            <v>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cortavidrios.</v>
          </cell>
          <cell r="E210" t="str">
            <v>Ex.Excepto: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cortavidrios.</v>
          </cell>
        </row>
        <row r="211">
          <cell r="A211" t="str">
            <v>8205.70.99</v>
          </cell>
          <cell r="B211" t="str">
            <v>Los demás.</v>
          </cell>
          <cell r="C211" t="str">
            <v>Ex.</v>
          </cell>
          <cell r="E211" t="str">
            <v>Ex.</v>
          </cell>
        </row>
        <row r="212">
          <cell r="A212" t="str">
            <v>8205.90.91</v>
          </cell>
          <cell r="B212" t="str">
            <v>Los demás, incluidos los juegos de artículos de dos o más de las subpartidas anteriores.</v>
          </cell>
          <cell r="C212" t="str">
            <v>Ex.</v>
          </cell>
          <cell r="D212" t="str">
            <v>Únicamente: Juegos de artículos de dos o más de las subpartidas de esta partida.</v>
          </cell>
          <cell r="E212" t="str">
            <v>Ex.Únicamente: Juegos de artículos de dos o más de las subpartidas de esta partida.</v>
          </cell>
        </row>
        <row r="213">
          <cell r="A213" t="str">
            <v>8207.90.99</v>
          </cell>
          <cell r="B213" t="str">
            <v>Los demás.</v>
          </cell>
          <cell r="C213" t="str">
            <v>Ex.</v>
          </cell>
          <cell r="E213" t="str">
            <v>Ex.</v>
          </cell>
        </row>
        <row r="214">
          <cell r="A214" t="str">
            <v>8213.00.01</v>
          </cell>
          <cell r="B214" t="str">
            <v>Tijeras y sus hojas.</v>
          </cell>
          <cell r="C214" t="str">
            <v>Ex.</v>
          </cell>
          <cell r="E214" t="str">
            <v>Ex.</v>
          </cell>
        </row>
        <row r="215">
          <cell r="A215" t="str">
            <v>8301.30.01</v>
          </cell>
          <cell r="B215" t="str">
            <v>Cerraduras de los tipos utilizados en muebles.</v>
          </cell>
          <cell r="C215" t="str">
            <v>Ex.</v>
          </cell>
          <cell r="E215" t="str">
            <v>Ex.</v>
          </cell>
        </row>
        <row r="216">
          <cell r="A216" t="str">
            <v>8301.40.91</v>
          </cell>
          <cell r="B216" t="str">
            <v>Las demás cerraduras; cerrojos.</v>
          </cell>
          <cell r="C216" t="str">
            <v>Ex.</v>
          </cell>
          <cell r="E216" t="str">
            <v>Ex.</v>
          </cell>
        </row>
        <row r="217">
          <cell r="A217" t="str">
            <v>8302.10.01</v>
          </cell>
          <cell r="B217" t="str">
            <v>Con mecanismos de resortes, excepto lo comprendido en la fracción arancelaria 8302.10.02.</v>
          </cell>
          <cell r="C217" t="str">
            <v>Ex.</v>
          </cell>
          <cell r="E217" t="str">
            <v>Ex.</v>
          </cell>
        </row>
        <row r="218">
          <cell r="A218" t="str">
            <v>8302.10.99</v>
          </cell>
          <cell r="B218" t="str">
            <v>Los demás.</v>
          </cell>
          <cell r="C218" t="str">
            <v>Ex.</v>
          </cell>
          <cell r="E218" t="str">
            <v>Ex.</v>
          </cell>
        </row>
        <row r="219">
          <cell r="A219" t="str">
            <v>8302.20.02</v>
          </cell>
          <cell r="B219" t="str">
            <v>Ruedas.</v>
          </cell>
          <cell r="C219" t="str">
            <v>Ex.</v>
          </cell>
          <cell r="E219" t="str">
            <v>Ex.</v>
          </cell>
        </row>
        <row r="220">
          <cell r="A220" t="str">
            <v>8302.42.91</v>
          </cell>
          <cell r="B220" t="str">
            <v>Los demás, para muebles.</v>
          </cell>
          <cell r="C220" t="str">
            <v>Ex.</v>
          </cell>
          <cell r="D220" t="str">
            <v>Excepto: Reconocibles como diseñadas exclusivamente para asientos, incluso los transformables en camas.</v>
          </cell>
          <cell r="E220" t="str">
            <v>Ex.Excepto: Reconocibles como diseñadas exclusivamente para asientos, incluso los transformables en camas.</v>
          </cell>
        </row>
        <row r="221">
          <cell r="A221" t="str">
            <v>8302.49.99</v>
          </cell>
          <cell r="B221" t="str">
            <v>Los demás.</v>
          </cell>
          <cell r="C221" t="str">
            <v>Ex.</v>
          </cell>
          <cell r="E221" t="str">
            <v>Ex.</v>
          </cell>
        </row>
        <row r="222">
          <cell r="A222" t="str">
            <v>8302.60.01</v>
          </cell>
          <cell r="B222" t="str">
            <v>Cierrapuertas automáticos.</v>
          </cell>
          <cell r="C222" t="str">
            <v>Ex.</v>
          </cell>
          <cell r="E222" t="str">
            <v>Ex.</v>
          </cell>
        </row>
        <row r="223">
          <cell r="A223" t="str">
            <v>8305.10.01</v>
          </cell>
          <cell r="B223" t="str">
            <v>Mecanismos para encuadernación de hojas intercambiables o para clasificadores.</v>
          </cell>
          <cell r="C223" t="str">
            <v>Ex.</v>
          </cell>
          <cell r="E223" t="str">
            <v>Ex.</v>
          </cell>
        </row>
        <row r="224">
          <cell r="A224" t="str">
            <v>8305.20.01</v>
          </cell>
          <cell r="B224" t="str">
            <v>Grapas en tiras.</v>
          </cell>
          <cell r="C224" t="str">
            <v>Ex.</v>
          </cell>
          <cell r="E224" t="str">
            <v>Ex.</v>
          </cell>
        </row>
        <row r="225">
          <cell r="A225" t="str">
            <v>8305.90.01</v>
          </cell>
          <cell r="B225" t="str">
            <v>Clips u otros sujetadores.</v>
          </cell>
          <cell r="C225" t="str">
            <v>Ex.</v>
          </cell>
          <cell r="E225" t="str">
            <v>Ex.</v>
          </cell>
        </row>
        <row r="226">
          <cell r="A226" t="str">
            <v>8305.90.99</v>
          </cell>
          <cell r="B226" t="str">
            <v>Los demás.</v>
          </cell>
          <cell r="C226" t="str">
            <v>Ex.</v>
          </cell>
          <cell r="E226" t="str">
            <v>Ex.</v>
          </cell>
        </row>
        <row r="227">
          <cell r="A227" t="str">
            <v>8307.90.91</v>
          </cell>
          <cell r="B227" t="str">
            <v>De los demás metales comunes.</v>
          </cell>
          <cell r="C227" t="str">
            <v>Ex.</v>
          </cell>
          <cell r="E227" t="str">
            <v>Ex.</v>
          </cell>
        </row>
        <row r="228">
          <cell r="A228" t="str">
            <v>8308.10.99</v>
          </cell>
          <cell r="B228" t="str">
            <v>Los demás.</v>
          </cell>
          <cell r="C228" t="str">
            <v>Ex.</v>
          </cell>
          <cell r="E228" t="str">
            <v>Ex.</v>
          </cell>
        </row>
        <row r="229">
          <cell r="A229" t="str">
            <v>8308.20.01</v>
          </cell>
          <cell r="B229" t="str">
            <v>Remaches tubulares o con espiga hendida.</v>
          </cell>
          <cell r="C229" t="str">
            <v>Ex.</v>
          </cell>
          <cell r="E229" t="str">
            <v>Ex.</v>
          </cell>
        </row>
        <row r="230">
          <cell r="A230" t="str">
            <v>8309.90.99</v>
          </cell>
          <cell r="B230" t="str">
            <v>Los demás.</v>
          </cell>
          <cell r="C230" t="str">
            <v>Ex.</v>
          </cell>
          <cell r="D230" t="str">
            <v>Excepto: Tapones sin cerradura, para tanques de gasolina; cápsulas para botellas.</v>
          </cell>
          <cell r="E230" t="str">
            <v>Ex.Excepto: Tapones sin cerradura, para tanques de gasolina; cápsulas para botellas.</v>
          </cell>
        </row>
        <row r="231">
          <cell r="A231" t="str">
            <v>8310.00.99</v>
          </cell>
          <cell r="B231" t="str">
            <v>Los demás.</v>
          </cell>
          <cell r="C231" t="str">
            <v>Ex.</v>
          </cell>
          <cell r="E231" t="str">
            <v>Ex.</v>
          </cell>
        </row>
        <row r="232">
          <cell r="A232" t="str">
            <v>8311.90.99</v>
          </cell>
          <cell r="B232" t="str">
            <v>Los demás.</v>
          </cell>
          <cell r="C232" t="str">
            <v>Ex.</v>
          </cell>
          <cell r="E232" t="str">
            <v>Ex.</v>
          </cell>
        </row>
        <row r="233">
          <cell r="A233" t="str">
            <v>8402.19.99</v>
          </cell>
          <cell r="B233" t="str">
            <v>Los demás.</v>
          </cell>
          <cell r="C233" t="str">
            <v>Ex.</v>
          </cell>
          <cell r="E233" t="str">
            <v>Ex.</v>
          </cell>
        </row>
        <row r="234">
          <cell r="A234" t="str">
            <v>8405.10.99</v>
          </cell>
          <cell r="B234" t="str">
            <v>Los demás.</v>
          </cell>
          <cell r="C234" t="str">
            <v>Ex.</v>
          </cell>
          <cell r="E234" t="str">
            <v>Ex.</v>
          </cell>
        </row>
        <row r="235">
          <cell r="A235" t="str">
            <v>8408.90.01</v>
          </cell>
          <cell r="B235" t="str">
            <v>Con potencia igual o inferior a 960 CP.</v>
          </cell>
          <cell r="C235" t="str">
            <v>Ex.</v>
          </cell>
          <cell r="E235" t="str">
            <v>Ex.</v>
          </cell>
        </row>
        <row r="236">
          <cell r="A236" t="str">
            <v>8412.31.01</v>
          </cell>
          <cell r="B236" t="str">
            <v>De aire, reconocibles como diseñados exclusivamente para bombas neumáticas.</v>
          </cell>
          <cell r="C236" t="str">
            <v>Ex.</v>
          </cell>
          <cell r="E236" t="str">
            <v>Ex.</v>
          </cell>
        </row>
        <row r="237">
          <cell r="A237" t="str">
            <v>8413.19.01</v>
          </cell>
          <cell r="B237" t="str">
            <v>Distribuidoras con dispositivo medidor, aun cuando se presenten con mecanismo totalizador, excepto de émbolo, para el manejo de oxígeno líquido, a presión entre 29 y 301 kg/cm² (28 y 300 atmósferas), con dispositivos medidor y totalizador.</v>
          </cell>
          <cell r="C237" t="str">
            <v>Ex.</v>
          </cell>
          <cell r="E237" t="str">
            <v>Ex.</v>
          </cell>
        </row>
        <row r="238">
          <cell r="A238" t="str">
            <v>8413.19.03</v>
          </cell>
          <cell r="B238" t="str">
            <v>Medidoras, de engranes.</v>
          </cell>
          <cell r="C238" t="str">
            <v>Ex.</v>
          </cell>
          <cell r="E238" t="str">
            <v>Ex.</v>
          </cell>
        </row>
        <row r="239">
          <cell r="A239" t="str">
            <v>8413.20.01</v>
          </cell>
          <cell r="B239" t="str">
            <v>Bombas manuales, excepto las de las subpartidas 8413.11 u 8413.19.</v>
          </cell>
          <cell r="C239" t="str">
            <v>Ex.</v>
          </cell>
          <cell r="E239" t="str">
            <v>Ex.</v>
          </cell>
        </row>
        <row r="240">
          <cell r="A240" t="str">
            <v>8413.60.04</v>
          </cell>
          <cell r="B240" t="str">
            <v>Hidráulicas de paletas, para presión inferior o igual a 217 kg/cm² (210 atmósferas).</v>
          </cell>
          <cell r="C240" t="str">
            <v>Ex.</v>
          </cell>
          <cell r="E240" t="str">
            <v>Ex.</v>
          </cell>
        </row>
        <row r="241">
          <cell r="A241" t="str">
            <v>8413.70.99</v>
          </cell>
          <cell r="B241" t="str">
            <v>Las demás.</v>
          </cell>
          <cell r="C241" t="str">
            <v>Ex.</v>
          </cell>
          <cell r="D241" t="str">
            <v>Excepto: Sumergibles, con tubería de descarga de diámetro interior superior o igual a 63 mm, pero inferior o igual a 610 mm.; Bombas de tipo centrífugo para manejo de petróleo y sus derivados.</v>
          </cell>
          <cell r="E241" t="str">
            <v>Ex.Excepto: Sumergibles, con tubería de descarga de diámetro interior superior o igual a 63 mm, pero inferior o igual a 610 mm.; Bombas de tipo centrífugo para manejo de petróleo y sus derivados.</v>
          </cell>
        </row>
        <row r="242">
          <cell r="A242" t="str">
            <v>8413.81.02</v>
          </cell>
          <cell r="B242" t="str">
            <v>De accionamiento neumático, incluso con depósito, con o sin base rodante, para lubricantes.</v>
          </cell>
          <cell r="C242" t="str">
            <v>Ex.</v>
          </cell>
          <cell r="E242" t="str">
            <v>Ex.</v>
          </cell>
        </row>
        <row r="243">
          <cell r="A243" t="str">
            <v>8414.20.01</v>
          </cell>
          <cell r="B243" t="str">
            <v>Bombas de aire, de mano o pedal.</v>
          </cell>
          <cell r="C243" t="str">
            <v>Ex.</v>
          </cell>
          <cell r="E243" t="str">
            <v>Ex.</v>
          </cell>
        </row>
        <row r="244">
          <cell r="A244" t="str">
            <v>8414.30.01</v>
          </cell>
          <cell r="B244" t="str">
            <v>Motocompresores, excepto lo comprendido en las fracciones arancelarias 8414.30.04, 8414.30.07, 8414.30.08 y 8414.30.10.</v>
          </cell>
          <cell r="C244" t="str">
            <v>Ex.</v>
          </cell>
          <cell r="E244" t="str">
            <v>Ex.</v>
          </cell>
        </row>
        <row r="245">
          <cell r="A245" t="str">
            <v>8414.30.02</v>
          </cell>
          <cell r="B245" t="str">
            <v>Denominados abiertos, excepto lo comprendido en la fracción arancelaria 8414.30.06.</v>
          </cell>
          <cell r="C245" t="str">
            <v>Ex.</v>
          </cell>
          <cell r="E245" t="str">
            <v>Ex.</v>
          </cell>
        </row>
        <row r="246">
          <cell r="A246" t="str">
            <v>8414.30.99</v>
          </cell>
          <cell r="B246" t="str">
            <v>Los demás.</v>
          </cell>
          <cell r="C246" t="str">
            <v>Ex.</v>
          </cell>
          <cell r="E246" t="str">
            <v>Ex.</v>
          </cell>
        </row>
        <row r="247">
          <cell r="A247" t="str">
            <v>8414.40.01</v>
          </cell>
          <cell r="B247" t="str">
            <v>Compresores o motocompresores, con capacidad hasta 31.5 m³ por minuto y presión de aire hasta 17.6 kg/cm².</v>
          </cell>
          <cell r="C247" t="str">
            <v>Ex.</v>
          </cell>
          <cell r="E247" t="str">
            <v>Ex.</v>
          </cell>
        </row>
        <row r="248">
          <cell r="A248" t="str">
            <v>8414.40.99</v>
          </cell>
          <cell r="B248" t="str">
            <v>Los demás.</v>
          </cell>
          <cell r="C248" t="str">
            <v>Ex.</v>
          </cell>
          <cell r="E248" t="str">
            <v>Ex.</v>
          </cell>
        </row>
        <row r="249">
          <cell r="A249" t="str">
            <v>8414.51.02</v>
          </cell>
          <cell r="B249" t="str">
            <v>Ventiladores anticondensantes de 12 V, corriente directa.</v>
          </cell>
          <cell r="C249" t="str">
            <v>Ex.</v>
          </cell>
          <cell r="E249" t="str">
            <v>Ex.</v>
          </cell>
        </row>
        <row r="250">
          <cell r="A250" t="str">
            <v>8414.51.99</v>
          </cell>
          <cell r="B250" t="str">
            <v>Los demás.</v>
          </cell>
          <cell r="C250" t="str">
            <v>Ex.</v>
          </cell>
          <cell r="E250" t="str">
            <v>Ex.</v>
          </cell>
        </row>
        <row r="251">
          <cell r="A251" t="str">
            <v>8414.59.99</v>
          </cell>
          <cell r="B251" t="str">
            <v>Los demás.</v>
          </cell>
          <cell r="C251" t="str">
            <v>Ex.</v>
          </cell>
          <cell r="E251" t="str">
            <v>Ex.</v>
          </cell>
        </row>
        <row r="252">
          <cell r="A252" t="str">
            <v>8414.60.99</v>
          </cell>
          <cell r="B252" t="str">
            <v>Los demás.</v>
          </cell>
          <cell r="C252" t="str">
            <v>Ex.</v>
          </cell>
          <cell r="E252" t="str">
            <v>Ex.</v>
          </cell>
        </row>
        <row r="253">
          <cell r="A253" t="str">
            <v>8414.70.01</v>
          </cell>
          <cell r="B253" t="str">
            <v>Del tipo de campana aspirante.</v>
          </cell>
          <cell r="C253" t="str">
            <v>Ex.</v>
          </cell>
          <cell r="E253" t="str">
            <v>Ex.</v>
          </cell>
        </row>
        <row r="254">
          <cell r="A254" t="str">
            <v>8414.70.02</v>
          </cell>
          <cell r="B254" t="str">
            <v>Filtros.</v>
          </cell>
          <cell r="C254" t="str">
            <v>Ex.</v>
          </cell>
          <cell r="E254" t="str">
            <v>Ex.</v>
          </cell>
        </row>
        <row r="255">
          <cell r="A255" t="str">
            <v>8414.80.06</v>
          </cell>
          <cell r="B255" t="str">
            <v>Motocompresores integrales, de 4 o más cilindros motrices, excepto los reconocibles exclusivamente para tractores agrícolas e industriales.</v>
          </cell>
          <cell r="C255" t="str">
            <v>Ex.</v>
          </cell>
          <cell r="E255" t="str">
            <v>Ex.</v>
          </cell>
        </row>
        <row r="256">
          <cell r="A256" t="str">
            <v>8414.80.08</v>
          </cell>
          <cell r="B256" t="str">
            <v>Bombas de aire, de dos impulsores rotativos, con capacidad de 2.0 a 48.5 m³, por minuto, excepto los reconocibles exclusivamente para tractores agrícolas e industriales.</v>
          </cell>
          <cell r="C256" t="str">
            <v>Ex.</v>
          </cell>
          <cell r="E256" t="str">
            <v>Ex.</v>
          </cell>
        </row>
        <row r="257">
          <cell r="A257" t="str">
            <v>8414.80.10</v>
          </cell>
          <cell r="B257" t="str">
            <v>Enfriadores circulares para hornos de sinterización.</v>
          </cell>
          <cell r="C257" t="str">
            <v>Ex.</v>
          </cell>
          <cell r="E257" t="str">
            <v>Ex.</v>
          </cell>
        </row>
        <row r="258">
          <cell r="A258" t="str">
            <v>8415.83.01</v>
          </cell>
          <cell r="B258" t="str">
            <v>Sin equipo de enfriamiento.</v>
          </cell>
          <cell r="C258" t="str">
            <v>Ex.</v>
          </cell>
          <cell r="E258" t="str">
            <v>Ex.</v>
          </cell>
        </row>
        <row r="259">
          <cell r="A259" t="str">
            <v>8416.10.99</v>
          </cell>
          <cell r="B259" t="str">
            <v>Las demás.</v>
          </cell>
          <cell r="C259" t="str">
            <v>Ex.</v>
          </cell>
          <cell r="E259" t="str">
            <v>Ex.</v>
          </cell>
        </row>
        <row r="260">
          <cell r="A260" t="str">
            <v>8417.10.03</v>
          </cell>
          <cell r="B260" t="str">
            <v>Para fusión, calentamiento, recalentamiento y/o tratamiento térmico de metales, excepto la oxicupola, con capacidad superior a 80 t/h y las industriales de operación continua.</v>
          </cell>
          <cell r="C260" t="str">
            <v>Ex.</v>
          </cell>
          <cell r="E260" t="str">
            <v>Ex.</v>
          </cell>
        </row>
        <row r="261">
          <cell r="A261" t="str">
            <v>8417.80.99</v>
          </cell>
          <cell r="B261" t="str">
            <v>Los demás.</v>
          </cell>
          <cell r="C261" t="str">
            <v>Ex.</v>
          </cell>
          <cell r="E261" t="str">
            <v>Ex.</v>
          </cell>
        </row>
        <row r="262">
          <cell r="A262" t="str">
            <v>8418.21.01</v>
          </cell>
          <cell r="B262" t="str">
            <v>De compresión.</v>
          </cell>
          <cell r="C262" t="str">
            <v>Ex.</v>
          </cell>
          <cell r="E262" t="str">
            <v>Ex.</v>
          </cell>
        </row>
        <row r="263">
          <cell r="A263" t="str">
            <v>8418.30.99</v>
          </cell>
          <cell r="B263" t="str">
            <v>Los demás.</v>
          </cell>
          <cell r="C263" t="str">
            <v>Ex.</v>
          </cell>
          <cell r="D263" t="str">
            <v>Únicamente: De compresión, de uso doméstico.</v>
          </cell>
          <cell r="E263" t="str">
            <v>Ex.Únicamente: De compresión, de uso doméstico.</v>
          </cell>
        </row>
        <row r="264">
          <cell r="A264" t="str">
            <v>8418.69.99</v>
          </cell>
          <cell r="B264" t="str">
            <v>Los demás.</v>
          </cell>
          <cell r="C264" t="str">
            <v>Ex.</v>
          </cell>
          <cell r="D264" t="str">
            <v>Excepto: Máquinas automáticas para la producción de hielo en cubos, escamas u otras formas.</v>
          </cell>
          <cell r="E264" t="str">
            <v>Ex.Excepto: Máquinas automáticas para la producción de hielo en cubos, escamas u otras formas.</v>
          </cell>
        </row>
        <row r="265">
          <cell r="A265" t="str">
            <v>8419.33.01</v>
          </cell>
          <cell r="B265" t="str">
            <v>De los tipos utilizados para productos agrícolas.</v>
          </cell>
          <cell r="C265" t="str">
            <v>Ex.</v>
          </cell>
          <cell r="E265" t="str">
            <v>Ex.</v>
          </cell>
        </row>
        <row r="266">
          <cell r="A266" t="str">
            <v>8419.34.99</v>
          </cell>
          <cell r="B266" t="str">
            <v>Los demás.</v>
          </cell>
          <cell r="C266" t="str">
            <v>Ex.</v>
          </cell>
          <cell r="E266" t="str">
            <v>Ex.</v>
          </cell>
        </row>
        <row r="267">
          <cell r="A267" t="str">
            <v>8419.89.03</v>
          </cell>
          <cell r="B267" t="str">
            <v>Torres de enfriamiento, excepto las reconocibles como diseñadas para la separación y eliminación de contaminantes.</v>
          </cell>
          <cell r="C267" t="str">
            <v>Ex.</v>
          </cell>
          <cell r="E267" t="str">
            <v>Ex.</v>
          </cell>
        </row>
        <row r="268">
          <cell r="A268" t="str">
            <v>8421.19.03</v>
          </cell>
          <cell r="B268" t="str">
            <v>Centrífugas con canasta de eje de rotación vertical.</v>
          </cell>
          <cell r="C268" t="str">
            <v>Ex.</v>
          </cell>
          <cell r="E268" t="str">
            <v>Ex.</v>
          </cell>
        </row>
        <row r="269">
          <cell r="A269" t="str">
            <v>8421.21.99</v>
          </cell>
          <cell r="B269" t="str">
            <v>Los demás.</v>
          </cell>
          <cell r="C269" t="str">
            <v>Ex.</v>
          </cell>
          <cell r="D269" t="str">
            <v>Excepto: Para albercas.</v>
          </cell>
          <cell r="E269" t="str">
            <v>Ex.Excepto: Para albercas.</v>
          </cell>
        </row>
        <row r="270">
          <cell r="A270" t="str">
            <v>8421.31.99</v>
          </cell>
          <cell r="B270" t="str">
            <v>Los demás.</v>
          </cell>
          <cell r="C270" t="str">
            <v>Ex.</v>
          </cell>
          <cell r="E270" t="str">
            <v>Ex.</v>
          </cell>
        </row>
        <row r="271">
          <cell r="A271" t="str">
            <v>8421.32.99</v>
          </cell>
          <cell r="B271" t="str">
            <v>Los demás.</v>
          </cell>
          <cell r="C271" t="str">
            <v>Ex.</v>
          </cell>
          <cell r="D271" t="str">
            <v>Excepto: Depuradores ciclón.</v>
          </cell>
          <cell r="E271" t="str">
            <v>Ex.Excepto: Depuradores ciclón.</v>
          </cell>
        </row>
        <row r="272">
          <cell r="A272" t="str">
            <v>8421.39.99</v>
          </cell>
          <cell r="B272" t="str">
            <v>Las demás.</v>
          </cell>
          <cell r="C272" t="str">
            <v>Ex.</v>
          </cell>
          <cell r="D272" t="str">
            <v>Excepto: Depuradores ciclón.</v>
          </cell>
          <cell r="E272" t="str">
            <v>Ex.Excepto: Depuradores ciclón.</v>
          </cell>
        </row>
        <row r="273">
          <cell r="A273" t="str">
            <v>8423.81.03</v>
          </cell>
          <cell r="B273" t="str">
            <v>Con capacidad inferior o igual a 30 kg.</v>
          </cell>
          <cell r="C273" t="str">
            <v>Ex.</v>
          </cell>
          <cell r="D273" t="str">
            <v>Excepto: De funcionamiento electrónico.</v>
          </cell>
          <cell r="E273" t="str">
            <v>Ex.Excepto: De funcionamiento electrónico.</v>
          </cell>
        </row>
        <row r="274">
          <cell r="A274" t="str">
            <v>8423.82.03</v>
          </cell>
          <cell r="B274" t="str">
            <v>Con capacidad superior a 30 kg pero inferior o igual a 5,000 kg.</v>
          </cell>
          <cell r="C274" t="str">
            <v>Ex.</v>
          </cell>
          <cell r="D274" t="str">
            <v>Excepto: De funcionamiento electrónico.</v>
          </cell>
          <cell r="E274" t="str">
            <v>Ex.Excepto: De funcionamiento electrónico.</v>
          </cell>
        </row>
        <row r="275">
          <cell r="A275" t="str">
            <v>8423.89.99</v>
          </cell>
          <cell r="B275" t="str">
            <v>Los demás.</v>
          </cell>
          <cell r="C275" t="str">
            <v>Ex.</v>
          </cell>
          <cell r="E275" t="str">
            <v>Ex.</v>
          </cell>
        </row>
        <row r="276">
          <cell r="A276" t="str">
            <v>8424.20.01</v>
          </cell>
          <cell r="B276" t="str">
            <v>Pulverizadores, espolvoreadores, esparcidores o aspersores, excepto los reconocibles para naves aéreas.</v>
          </cell>
          <cell r="C276" t="str">
            <v>Ex.</v>
          </cell>
          <cell r="E276" t="str">
            <v>Ex.</v>
          </cell>
        </row>
        <row r="277">
          <cell r="A277" t="str">
            <v>8425.11.99</v>
          </cell>
          <cell r="B277" t="str">
            <v>Los demás.</v>
          </cell>
          <cell r="C277" t="str">
            <v>Ex.</v>
          </cell>
          <cell r="E277" t="str">
            <v>Ex.</v>
          </cell>
        </row>
        <row r="278">
          <cell r="A278" t="str">
            <v>8425.19.99</v>
          </cell>
          <cell r="B278" t="str">
            <v>Los demás.</v>
          </cell>
          <cell r="C278" t="str">
            <v>Ex.</v>
          </cell>
          <cell r="E278" t="str">
            <v>Ex.</v>
          </cell>
        </row>
        <row r="279">
          <cell r="A279" t="str">
            <v>8425.31.01</v>
          </cell>
          <cell r="B279" t="str">
            <v>Con capacidad hasta 5,000 kg.</v>
          </cell>
          <cell r="C279" t="str">
            <v>Ex.</v>
          </cell>
          <cell r="E279" t="str">
            <v>Ex.</v>
          </cell>
        </row>
        <row r="280">
          <cell r="A280" t="str">
            <v>8425.39.99</v>
          </cell>
          <cell r="B280" t="str">
            <v>Los demás.</v>
          </cell>
          <cell r="C280" t="str">
            <v>Ex.</v>
          </cell>
          <cell r="E280" t="str">
            <v>Ex.</v>
          </cell>
        </row>
        <row r="281">
          <cell r="A281" t="str">
            <v>8425.42.01</v>
          </cell>
          <cell r="B281" t="str">
            <v>Tipo patín, aun cuando se presenten sin ruedas, con una o más bombas integrales, de peso mayor a 12 kg y capacidad de carga hasta 12 t.</v>
          </cell>
          <cell r="C281" t="str">
            <v>Ex.</v>
          </cell>
          <cell r="E281" t="str">
            <v>Ex.</v>
          </cell>
        </row>
        <row r="282">
          <cell r="A282" t="str">
            <v>8425.49.99</v>
          </cell>
          <cell r="B282" t="str">
            <v>Los demás.</v>
          </cell>
          <cell r="C282" t="str">
            <v>Ex.</v>
          </cell>
          <cell r="E282" t="str">
            <v>Ex.</v>
          </cell>
        </row>
        <row r="283">
          <cell r="A283" t="str">
            <v>8427.10.01</v>
          </cell>
          <cell r="B283" t="str">
            <v>Montacargas de carga frontal y unidad motriz trasera (denominado “counterbalance”), con capacidad de carga hasta 3,500 kg.</v>
          </cell>
          <cell r="C283" t="str">
            <v>Ex.</v>
          </cell>
          <cell r="E283" t="str">
            <v>Ex.</v>
          </cell>
        </row>
        <row r="284">
          <cell r="A284" t="str">
            <v>8427.20.01</v>
          </cell>
          <cell r="B284" t="str">
            <v>Carretilla con motor de explosión o combustión interna con capacidad de carga hasta 7,000 kg, medida a 620 mm de la cara frontal de las horquillas, excepto lo comprendido en la fracción arancelaria 8427.20.04.</v>
          </cell>
          <cell r="C284" t="str">
            <v>Ex.</v>
          </cell>
          <cell r="E284" t="str">
            <v>Ex.</v>
          </cell>
        </row>
        <row r="285">
          <cell r="A285" t="str">
            <v>8427.20.04</v>
          </cell>
          <cell r="B285" t="str">
            <v>Montacargas de carga frontal y unidad motriz trasera (denominado "counterbalance"), con motor de explosión o combustión interna, con capacidad de carga hasta 7,000 kg.</v>
          </cell>
          <cell r="C285" t="str">
            <v>Ex.</v>
          </cell>
          <cell r="E285" t="str">
            <v>Ex.</v>
          </cell>
        </row>
        <row r="286">
          <cell r="A286" t="str">
            <v>8427.90.91</v>
          </cell>
          <cell r="B286" t="str">
            <v>Las demás carretillas.</v>
          </cell>
          <cell r="C286" t="str">
            <v>Ex.</v>
          </cell>
          <cell r="D286" t="str">
            <v>Excepto: Carros de transferencia (plataforma móvil o cambiador para los recolectores o apiladores de minerales).</v>
          </cell>
          <cell r="E286" t="str">
            <v>Ex.Excepto: Carros de transferencia (plataforma móvil o cambiador para los recolectores o apiladores de minerales).</v>
          </cell>
        </row>
        <row r="287">
          <cell r="A287" t="str">
            <v>8428.10.01</v>
          </cell>
          <cell r="B287" t="str">
            <v>Ascensores y montacargas.</v>
          </cell>
          <cell r="C287" t="str">
            <v>Ex.</v>
          </cell>
          <cell r="E287" t="str">
            <v>Ex.</v>
          </cell>
        </row>
        <row r="288">
          <cell r="A288" t="str">
            <v>8428.40.99</v>
          </cell>
          <cell r="B288" t="str">
            <v>Los demás.</v>
          </cell>
          <cell r="C288" t="str">
            <v>Ex.</v>
          </cell>
          <cell r="D288" t="str">
            <v>Excepto: Escaleras móviles incluso montadas sobre ruedas.</v>
          </cell>
          <cell r="E288" t="str">
            <v>Ex.Excepto: Escaleras móviles incluso montadas sobre ruedas.</v>
          </cell>
        </row>
        <row r="289">
          <cell r="A289" t="str">
            <v>8428.70.01</v>
          </cell>
          <cell r="B289" t="str">
            <v>Robots industriales.</v>
          </cell>
          <cell r="C289" t="str">
            <v>Ex.</v>
          </cell>
          <cell r="E289" t="str">
            <v>Ex.</v>
          </cell>
        </row>
        <row r="290">
          <cell r="A290" t="str">
            <v>8428.90.99</v>
          </cell>
          <cell r="B290" t="str">
            <v>Los demás.</v>
          </cell>
          <cell r="C290" t="str">
            <v>Ex.</v>
          </cell>
          <cell r="D290" t="str">
            <v>Excepto: Brazos de carga marinos o terrestres (garzas marinas o terrestres), reconocibles para la carga o descarga de petróleo o sus derivados en navíos o carros tanque.</v>
          </cell>
          <cell r="E290" t="str">
            <v>Ex.Excepto: Brazos de carga marinos o terrestres (garzas marinas o terrestres), reconocibles para la carga o descarga de petróleo o sus derivados en navíos o carros tanque.</v>
          </cell>
        </row>
        <row r="291">
          <cell r="A291" t="str">
            <v>8443.39.06</v>
          </cell>
          <cell r="B291" t="str">
            <v>Aparatos de termocopia.</v>
          </cell>
          <cell r="C291" t="str">
            <v>Ex.</v>
          </cell>
          <cell r="E291" t="str">
            <v>Ex.</v>
          </cell>
        </row>
        <row r="292">
          <cell r="A292" t="str">
            <v>8458.19.01</v>
          </cell>
          <cell r="B292" t="str">
            <v>Paralelos universales, con distancia entre puntos hasta de 4.5 m y con capacidad de volteo hasta de 750 mm de diámetro sobre la bancada.</v>
          </cell>
          <cell r="C292" t="str">
            <v>Ex.</v>
          </cell>
          <cell r="E292" t="str">
            <v>Ex.</v>
          </cell>
        </row>
        <row r="293">
          <cell r="A293" t="str">
            <v>8459.51.01</v>
          </cell>
          <cell r="B293" t="str">
            <v>De control numérico.</v>
          </cell>
          <cell r="C293" t="str">
            <v>Ex.</v>
          </cell>
          <cell r="E293" t="str">
            <v>Ex.</v>
          </cell>
        </row>
        <row r="294">
          <cell r="A294" t="str">
            <v>8461.50.02</v>
          </cell>
          <cell r="B294" t="str">
            <v>Serradoras de disco o de cinta sinfín, excepto de control numérico.</v>
          </cell>
          <cell r="C294" t="str">
            <v>Ex.</v>
          </cell>
          <cell r="E294" t="str">
            <v>Ex.</v>
          </cell>
        </row>
        <row r="295">
          <cell r="A295" t="str">
            <v>8462.11.01</v>
          </cell>
          <cell r="B295" t="str">
            <v>Hidráulicas con capacidad (de presión de trabajo) hasta 1,000 t.</v>
          </cell>
          <cell r="C295" t="str">
            <v>Ex.</v>
          </cell>
          <cell r="E295" t="str">
            <v>Ex.</v>
          </cell>
        </row>
        <row r="296">
          <cell r="A296" t="str">
            <v>8462.19.01</v>
          </cell>
          <cell r="B296" t="str">
            <v>Hidráulicas con capacidad (de presión de trabajo) hasta 1,000 t.</v>
          </cell>
          <cell r="C296" t="str">
            <v>Ex.</v>
          </cell>
          <cell r="E296" t="str">
            <v>Ex.</v>
          </cell>
        </row>
        <row r="297">
          <cell r="A297" t="str">
            <v>8462.22.01</v>
          </cell>
          <cell r="B297" t="str">
            <v>Prensas mecánicas con capacidad inferior o igual a 200 t.</v>
          </cell>
          <cell r="C297" t="str">
            <v>Ex.</v>
          </cell>
          <cell r="E297" t="str">
            <v>Ex.</v>
          </cell>
        </row>
        <row r="298">
          <cell r="A298" t="str">
            <v>8462.23.01</v>
          </cell>
          <cell r="B298" t="str">
            <v>Prensas mecánicas con capacidad inferior o igual a 200 t.</v>
          </cell>
          <cell r="C298" t="str">
            <v>Ex.</v>
          </cell>
          <cell r="E298" t="str">
            <v>Ex.</v>
          </cell>
        </row>
        <row r="299">
          <cell r="A299" t="str">
            <v>8462.26.01</v>
          </cell>
          <cell r="B299" t="str">
            <v>Enderezadoras de alambre o alambrón.</v>
          </cell>
          <cell r="C299" t="str">
            <v>Ex.</v>
          </cell>
          <cell r="E299" t="str">
            <v>Ex.</v>
          </cell>
        </row>
        <row r="300">
          <cell r="A300" t="str">
            <v>8462.26.02</v>
          </cell>
          <cell r="B300" t="str">
            <v>Dobladoras de tubos, accionadas con motor, para tubos con diámetro igual o inferior a 70 mm y espesor de pared igual o inferior a 6.5 mm.</v>
          </cell>
          <cell r="C300" t="str">
            <v>Ex.</v>
          </cell>
          <cell r="E300" t="str">
            <v>Ex.</v>
          </cell>
        </row>
        <row r="301">
          <cell r="A301" t="str">
            <v>8462.26.03</v>
          </cell>
          <cell r="B301" t="str">
            <v>Prensas mecánicas con capacidad inferior o igual a 200 t.</v>
          </cell>
          <cell r="C301" t="str">
            <v>Ex.</v>
          </cell>
          <cell r="E301" t="str">
            <v>Ex.</v>
          </cell>
        </row>
        <row r="302">
          <cell r="A302" t="str">
            <v>8462.29.03</v>
          </cell>
          <cell r="B302" t="str">
            <v>Prensas hidráulicas con capacidad (de presión de trabajo) hasta 1,000 t, excepto de control numérico.</v>
          </cell>
          <cell r="C302" t="str">
            <v>Ex.</v>
          </cell>
          <cell r="E302" t="str">
            <v>Ex.</v>
          </cell>
        </row>
        <row r="303">
          <cell r="A303" t="str">
            <v>8462.29.05</v>
          </cell>
          <cell r="B303" t="str">
            <v>Dobladoras (plegadoras) de accionamiento mecánico, con motor, excepto de control numérico.</v>
          </cell>
          <cell r="C303" t="str">
            <v>Ex.</v>
          </cell>
          <cell r="E303" t="str">
            <v>Ex.</v>
          </cell>
        </row>
        <row r="304">
          <cell r="A304" t="str">
            <v>8462.29.06</v>
          </cell>
          <cell r="B304" t="str">
            <v>Dobladoras de tubos accionadas con motor, para tubos con diámetro igual o inferior a 70 mm y espesor de pared igual o inferior a 6.5 mm.</v>
          </cell>
          <cell r="C304" t="str">
            <v>Ex.</v>
          </cell>
          <cell r="D304" t="str">
            <v>Únicamente: De control numérico.</v>
          </cell>
          <cell r="E304" t="str">
            <v>Ex.Únicamente: De control numérico.</v>
          </cell>
        </row>
        <row r="305">
          <cell r="A305" t="str">
            <v>8462.29.07</v>
          </cell>
          <cell r="B305" t="str">
            <v>Prensas mecánicas con capacidad inferior o igual a 200 t.</v>
          </cell>
          <cell r="C305" t="str">
            <v>Ex.</v>
          </cell>
          <cell r="E305" t="str">
            <v>Ex.</v>
          </cell>
        </row>
        <row r="306">
          <cell r="A306" t="str">
            <v>8462.33.01</v>
          </cell>
          <cell r="B306" t="str">
            <v>Máquinas de cizallar, de control numérico.</v>
          </cell>
          <cell r="C306" t="str">
            <v>Ex.</v>
          </cell>
          <cell r="E306" t="str">
            <v>Ex.</v>
          </cell>
        </row>
        <row r="307">
          <cell r="A307" t="str">
            <v>8462.39.01</v>
          </cell>
          <cell r="B307" t="str">
            <v>Cizallas o guillotinas; cortadoras de alambre o alambrón.</v>
          </cell>
          <cell r="C307" t="str">
            <v>Ex.</v>
          </cell>
          <cell r="E307" t="str">
            <v>Ex.</v>
          </cell>
        </row>
        <row r="308">
          <cell r="A308" t="str">
            <v>8462.39.03</v>
          </cell>
          <cell r="B308" t="str">
            <v>Prensas mecánicas con capacidad inferior o igual a 200 t.</v>
          </cell>
          <cell r="C308" t="str">
            <v>Ex.</v>
          </cell>
          <cell r="E308" t="str">
            <v>Ex.</v>
          </cell>
        </row>
        <row r="309">
          <cell r="A309" t="str">
            <v>8462.51.01</v>
          </cell>
          <cell r="B309" t="str">
            <v>Dobladoras de tubos, accionadas con motor, para tubos con diámetro igual o inferior a 70 mm y espesor de pared igual o inferior a 6.5 mm.</v>
          </cell>
          <cell r="C309" t="str">
            <v>Ex.</v>
          </cell>
          <cell r="E309" t="str">
            <v>Ex.</v>
          </cell>
        </row>
        <row r="310">
          <cell r="A310" t="str">
            <v>8462.51.02</v>
          </cell>
          <cell r="B310" t="str">
            <v>Cizallas o guillotinas.</v>
          </cell>
          <cell r="C310" t="str">
            <v>Ex.</v>
          </cell>
          <cell r="E310" t="str">
            <v>Ex.</v>
          </cell>
        </row>
        <row r="311">
          <cell r="A311" t="str">
            <v>8462.59.01</v>
          </cell>
          <cell r="B311" t="str">
            <v>Dobladoras (plegadoras) de accionamiento mecánico, con motor.</v>
          </cell>
          <cell r="C311" t="str">
            <v>Ex.</v>
          </cell>
          <cell r="E311" t="str">
            <v>Ex.</v>
          </cell>
        </row>
        <row r="312">
          <cell r="A312" t="str">
            <v>8462.59.03</v>
          </cell>
          <cell r="B312" t="str">
            <v>Cizallas o guillotinas; cortadoras de alambre o alambrón.</v>
          </cell>
          <cell r="C312" t="str">
            <v>Ex.</v>
          </cell>
          <cell r="E312" t="str">
            <v>Ex.</v>
          </cell>
        </row>
        <row r="313">
          <cell r="A313" t="str">
            <v>8462.61.01</v>
          </cell>
          <cell r="B313" t="str">
            <v>Prensas hidráulicas con capacidad (de presión de trabajo) hasta 1,000 t.</v>
          </cell>
          <cell r="C313" t="str">
            <v>Ex.</v>
          </cell>
          <cell r="E313" t="str">
            <v>Ex.</v>
          </cell>
        </row>
        <row r="314">
          <cell r="A314" t="str">
            <v>8462.62.01</v>
          </cell>
          <cell r="B314" t="str">
            <v>Prensas mecánicas con capacidad inferior o igual a 200 t, excepto para punzonar o entallar.</v>
          </cell>
          <cell r="C314" t="str">
            <v>Ex.</v>
          </cell>
          <cell r="D314" t="str">
            <v>Excepto: De enrollar, curvar, plegar, enderezar o aplanar; cizallar; punzonar o entallar, incluso las combinadas de cizallar y punzonar.</v>
          </cell>
          <cell r="E314" t="str">
            <v>Ex.Excepto: De enrollar, curvar, plegar, enderezar o aplanar; cizallar; punzonar o entallar, incluso las combinadas de cizallar y punzonar.</v>
          </cell>
        </row>
        <row r="315">
          <cell r="A315" t="str">
            <v>8465.91.01</v>
          </cell>
          <cell r="B315" t="str">
            <v>De cinta sinfín, de disco o alternativas.</v>
          </cell>
          <cell r="C315" t="str">
            <v>Ex.</v>
          </cell>
          <cell r="E315" t="str">
            <v>Ex.</v>
          </cell>
        </row>
        <row r="316">
          <cell r="A316" t="str">
            <v>8465.95.01</v>
          </cell>
          <cell r="B316" t="str">
            <v>Taladradoras o escopleadoras.</v>
          </cell>
          <cell r="C316" t="str">
            <v>Ex.</v>
          </cell>
          <cell r="E316" t="str">
            <v>Ex.</v>
          </cell>
        </row>
        <row r="317">
          <cell r="A317" t="str">
            <v>8466.10.03</v>
          </cell>
          <cell r="B317" t="str">
            <v>Portatroqueles.</v>
          </cell>
          <cell r="C317" t="str">
            <v>Ex.</v>
          </cell>
          <cell r="E317" t="str">
            <v>Ex.</v>
          </cell>
        </row>
        <row r="318">
          <cell r="A318" t="str">
            <v>8466.93.03</v>
          </cell>
          <cell r="B318" t="str">
            <v>Reconocibles como diseñadas exclusiva o principalmente para taladros de columna o banco con transmisión por bandas o engranados.</v>
          </cell>
          <cell r="C318" t="str">
            <v>Ex.</v>
          </cell>
          <cell r="E318" t="str">
            <v>Ex.</v>
          </cell>
        </row>
        <row r="319">
          <cell r="A319" t="str">
            <v>8467.21.01</v>
          </cell>
          <cell r="B319" t="str">
            <v>Taladros, con capacidad de entrada de 6.35, 9.52 o 12.70 mm.</v>
          </cell>
          <cell r="C319" t="str">
            <v>Ex.</v>
          </cell>
          <cell r="E319" t="str">
            <v>Ex.</v>
          </cell>
        </row>
        <row r="320">
          <cell r="A320" t="str">
            <v>8467.21.03</v>
          </cell>
          <cell r="B320" t="str">
            <v>Perforadoras por percusión y rotación (rotomartillos), con potencia inferior o igual a ½ CP.</v>
          </cell>
          <cell r="C320" t="str">
            <v>Ex.</v>
          </cell>
          <cell r="E320" t="str">
            <v>Ex.</v>
          </cell>
        </row>
        <row r="321">
          <cell r="A321" t="str">
            <v>8467.21.99</v>
          </cell>
          <cell r="B321" t="str">
            <v>Los demás.</v>
          </cell>
          <cell r="C321" t="str">
            <v>Ex.</v>
          </cell>
          <cell r="E321" t="str">
            <v>Ex.</v>
          </cell>
        </row>
        <row r="322">
          <cell r="A322" t="str">
            <v>8467.22.02</v>
          </cell>
          <cell r="B322" t="str">
            <v>Sierras de disco con potencia del motor igual o inferior a 2.33 CP.</v>
          </cell>
          <cell r="C322" t="str">
            <v>Ex.</v>
          </cell>
          <cell r="E322" t="str">
            <v>Ex.</v>
          </cell>
        </row>
        <row r="323">
          <cell r="A323" t="str">
            <v>8467.22.03</v>
          </cell>
          <cell r="B323" t="str">
            <v>Sierra caladora, con potencia inferior o igual a 0.4 CP.</v>
          </cell>
          <cell r="C323" t="str">
            <v>Ex.</v>
          </cell>
          <cell r="E323" t="str">
            <v>Ex.</v>
          </cell>
        </row>
        <row r="324">
          <cell r="A324" t="str">
            <v>8467.29.01</v>
          </cell>
          <cell r="B324" t="str">
            <v>Esmeriladoras con un mínimo de 4,000 RPM a un máximo de 8,000 RPM, con capacidad de 8 a 25 amperes y de 100 a 150 V, con peso de 4 kg a 8 kg.</v>
          </cell>
          <cell r="C324" t="str">
            <v>Ex.</v>
          </cell>
          <cell r="E324" t="str">
            <v>Ex.</v>
          </cell>
        </row>
        <row r="325">
          <cell r="A325" t="str">
            <v>8467.29.03</v>
          </cell>
          <cell r="B325" t="str">
            <v>Pulidora-lijadora orbital con potencia inferior o igual a 0.2 CP.</v>
          </cell>
          <cell r="C325" t="str">
            <v>Ex.</v>
          </cell>
          <cell r="E325" t="str">
            <v>Ex.</v>
          </cell>
        </row>
        <row r="326">
          <cell r="A326" t="str">
            <v>8467.29.99</v>
          </cell>
          <cell r="B326" t="str">
            <v>Los demás.</v>
          </cell>
          <cell r="C326" t="str">
            <v>Ex.</v>
          </cell>
          <cell r="E326" t="str">
            <v>Ex.</v>
          </cell>
        </row>
        <row r="327">
          <cell r="A327" t="str">
            <v>8468.10.01</v>
          </cell>
          <cell r="B327" t="str">
            <v>Sopletes manuales.</v>
          </cell>
          <cell r="C327" t="str">
            <v>Ex.</v>
          </cell>
          <cell r="E327" t="str">
            <v>Ex.</v>
          </cell>
        </row>
        <row r="328">
          <cell r="A328" t="str">
            <v>8472.90.99</v>
          </cell>
          <cell r="B328" t="str">
            <v>Las demás.</v>
          </cell>
          <cell r="C328" t="str">
            <v>Ex.</v>
          </cell>
          <cell r="D328" t="str">
            <v>Excepto: Perforadoras accionadas por palanca, para dos perforaciones en distancias de 7 u 8 cm, con peso unitario inferior o igual a 1 kg; máquinas de escribir automáticas electrónicas; máquinas de escribir automáticas; marcadores por impresión directa o mediante cinta; agendas con mecanismo selector alfabético; separadoras o desintercaladoras de formas continuas, para proceso de datos; cajas registradoras sin dispositivo totalizador; aparatos para transferir a documentos impresiones de tarjetas plásticas de crédito y/o identificación; máquinas de imprimir direcciones o estampar placas de direcciones.</v>
          </cell>
          <cell r="E328" t="str">
            <v>Ex.Excepto: Perforadoras accionadas por palanca, para dos perforaciones en distancias de 7 u 8 cm, con peso unitario inferior o igual a 1 kg; máquinas de escribir automáticas electrónicas; máquinas de escribir automáticas; marcadores por impresión directa o mediante cinta; agendas con mecanismo selector alfabético; separadoras o desintercaladoras de formas continuas, para proceso de datos; cajas registradoras sin dispositivo totalizador; aparatos para transferir a documentos impresiones de tarjetas plásticas de crédito y/o identificación; máquinas de imprimir direcciones o estampar placas de direcciones.</v>
          </cell>
        </row>
        <row r="329">
          <cell r="A329" t="str">
            <v>8476.90.02</v>
          </cell>
          <cell r="B329" t="str">
            <v>Partes.</v>
          </cell>
          <cell r="C329" t="str">
            <v>Ex.</v>
          </cell>
          <cell r="D329" t="str">
            <v>Excepto: Mecanismos seleccionadores o distribuidores.</v>
          </cell>
          <cell r="E329" t="str">
            <v>Ex.Excepto: Mecanismos seleccionadores o distribuidores.</v>
          </cell>
        </row>
        <row r="330">
          <cell r="A330" t="str">
            <v>8477.20.01</v>
          </cell>
          <cell r="B330" t="str">
            <v>De un husillo, para materias termoplásticas o de elastómeros granulados.</v>
          </cell>
          <cell r="C330" t="str">
            <v>Ex.</v>
          </cell>
          <cell r="E330" t="str">
            <v>Ex.</v>
          </cell>
        </row>
        <row r="331">
          <cell r="A331" t="str">
            <v>8479.81.02</v>
          </cell>
          <cell r="B331" t="str">
            <v>Toneles giratorios para el decapado, limpieza, pulido o abrillantado de piezas metálicas.</v>
          </cell>
          <cell r="C331" t="str">
            <v>Ex.</v>
          </cell>
          <cell r="E331" t="str">
            <v>Ex.</v>
          </cell>
        </row>
        <row r="332">
          <cell r="A332" t="str">
            <v>8479.81.04</v>
          </cell>
          <cell r="B332" t="str">
            <v>Para limpieza, pulido o abrillantado de piezas metálicas con abrasivos en circulación, excepto lo comprendido en la fracción arancelaria 8479.81.02.</v>
          </cell>
          <cell r="C332" t="str">
            <v>Ex.</v>
          </cell>
          <cell r="E332" t="str">
            <v>Ex.</v>
          </cell>
        </row>
        <row r="333">
          <cell r="A333" t="str">
            <v>8479.81.07</v>
          </cell>
          <cell r="B333" t="str">
            <v>Para galvanizar, estañar o recubrir metales, excepto líneas continuas para galvanizar alambre de acero, por inmersión y lo comprendido en la fracción arancelaria 8479.81.03.</v>
          </cell>
          <cell r="C333" t="str">
            <v>Ex.</v>
          </cell>
          <cell r="E333" t="str">
            <v>Ex.</v>
          </cell>
        </row>
        <row r="334">
          <cell r="A334" t="str">
            <v>8479.82.04</v>
          </cell>
          <cell r="B334" t="str">
            <v>Agitador-mezclador de hélice, excepto lo comprendido en la fracción arancelaria 8479.82.05.</v>
          </cell>
          <cell r="C334" t="str">
            <v>Ex.</v>
          </cell>
          <cell r="E334" t="str">
            <v>Ex.</v>
          </cell>
        </row>
        <row r="335">
          <cell r="A335" t="str">
            <v>8479.89.04</v>
          </cell>
          <cell r="B335" t="str">
            <v>Aparatos para la generación de una corriente controlada de aire ("cortinas de aire") para impedir la entrada de insectos, polvo y mantener la temperatura de un recinto.</v>
          </cell>
          <cell r="C335" t="str">
            <v>Ex.</v>
          </cell>
          <cell r="E335" t="str">
            <v>Ex.</v>
          </cell>
        </row>
        <row r="336">
          <cell r="A336" t="str">
            <v>8479.89.06</v>
          </cell>
          <cell r="B336" t="str">
            <v>Aparatos neumáticos o hidráulicos para automatizar máquinas, aparatos o artefactos mecánicos.</v>
          </cell>
          <cell r="C336" t="str">
            <v>Ex.</v>
          </cell>
          <cell r="E336" t="str">
            <v>Ex.</v>
          </cell>
        </row>
        <row r="337">
          <cell r="A337" t="str">
            <v>8479.89.08</v>
          </cell>
          <cell r="B337" t="str">
            <v>Frenos de motor.</v>
          </cell>
          <cell r="C337" t="str">
            <v>Ex.</v>
          </cell>
          <cell r="E337" t="str">
            <v>Ex.</v>
          </cell>
        </row>
        <row r="338">
          <cell r="A338" t="str">
            <v>8479.89.13</v>
          </cell>
          <cell r="B338" t="str">
            <v>Vibradores electromagnéticos, incluso con alimentador.</v>
          </cell>
          <cell r="C338" t="str">
            <v>Ex.</v>
          </cell>
          <cell r="E338" t="str">
            <v>Ex.</v>
          </cell>
        </row>
        <row r="339">
          <cell r="A339" t="str">
            <v>8479.89.19</v>
          </cell>
          <cell r="B339" t="str">
            <v>Deshumectadores, con sistema de refrigeración incorporado, para condensar la humedad atmosférica.</v>
          </cell>
          <cell r="C339" t="str">
            <v>Ex.</v>
          </cell>
          <cell r="E339" t="str">
            <v>Ex.</v>
          </cell>
        </row>
        <row r="340">
          <cell r="A340" t="str">
            <v>8481.80.02</v>
          </cell>
          <cell r="B340" t="str">
            <v>Grifería sanitaria de uso doméstico.</v>
          </cell>
          <cell r="C340" t="str">
            <v>Ex.</v>
          </cell>
          <cell r="E340" t="str">
            <v>Ex.</v>
          </cell>
        </row>
        <row r="341">
          <cell r="A341" t="str">
            <v>8481.80.04</v>
          </cell>
          <cell r="B341" t="str">
            <v>Válvulas de compuerta, excepto lo comprendido en la fracción arancelaria 8481.80.24.</v>
          </cell>
          <cell r="C341" t="str">
            <v>Ex.</v>
          </cell>
          <cell r="E341" t="str">
            <v>Ex.</v>
          </cell>
        </row>
        <row r="342">
          <cell r="A342" t="str">
            <v>8481.80.07</v>
          </cell>
          <cell r="B342" t="str">
            <v>Boquillas o espreas para aspersión.</v>
          </cell>
          <cell r="C342" t="str">
            <v>Ex.</v>
          </cell>
          <cell r="E342" t="str">
            <v>Ex.</v>
          </cell>
        </row>
        <row r="343">
          <cell r="A343" t="str">
            <v>8481.80.21</v>
          </cell>
          <cell r="B343" t="str">
            <v>De cobre, bronce, latón o aluminio, sin recubrimiento en su superficie, excepto lo comprendido en la fracción arancelaria 8481.80.02.</v>
          </cell>
          <cell r="C343" t="str">
            <v>Ex.</v>
          </cell>
          <cell r="E343" t="str">
            <v>Ex.</v>
          </cell>
        </row>
        <row r="344">
          <cell r="A344" t="str">
            <v>8481.80.99</v>
          </cell>
          <cell r="B344" t="str">
            <v>Los demás.</v>
          </cell>
          <cell r="C344" t="str">
            <v>Ex.</v>
          </cell>
          <cell r="E344" t="str">
            <v>Ex.</v>
          </cell>
        </row>
        <row r="345">
          <cell r="A345" t="str">
            <v>8483.60.02</v>
          </cell>
          <cell r="B345" t="str">
            <v>Acoplamientos elásticos, acoplamientos de acero forjado con peso unitario superior o igual a 600 kg.</v>
          </cell>
          <cell r="C345" t="str">
            <v>Ex.</v>
          </cell>
          <cell r="E345" t="str">
            <v>Ex.</v>
          </cell>
        </row>
        <row r="346">
          <cell r="A346" t="str">
            <v>8483.60.99</v>
          </cell>
          <cell r="B346" t="str">
            <v>Los demás.</v>
          </cell>
          <cell r="C346" t="str">
            <v>Ex.</v>
          </cell>
          <cell r="E346" t="str">
            <v>Ex.</v>
          </cell>
        </row>
        <row r="347">
          <cell r="A347" t="str">
            <v>8487.90.01</v>
          </cell>
          <cell r="B347" t="str">
            <v>Cilindros hidráulicos.</v>
          </cell>
          <cell r="C347" t="str">
            <v>Ex.</v>
          </cell>
          <cell r="E347" t="str">
            <v>Ex.</v>
          </cell>
        </row>
        <row r="348">
          <cell r="A348" t="str">
            <v>8487.90.99</v>
          </cell>
          <cell r="B348" t="str">
            <v>Las demás.</v>
          </cell>
          <cell r="C348" t="str">
            <v>Ex.</v>
          </cell>
          <cell r="E348" t="str">
            <v>Ex.</v>
          </cell>
        </row>
        <row r="349">
          <cell r="A349" t="str">
            <v>8501.31.01</v>
          </cell>
          <cell r="B349" t="str">
            <v>Generadores.</v>
          </cell>
          <cell r="C349" t="str">
            <v>Ex.</v>
          </cell>
          <cell r="E349" t="str">
            <v>Ex.</v>
          </cell>
        </row>
        <row r="350">
          <cell r="A350" t="str">
            <v>8501.31.05</v>
          </cell>
          <cell r="B350" t="str">
            <v>Motores con potencia superior o igual a 186 W (¼ CP), excepto lo comprendido en las fracciones arancelarias 8501.31.03 y 8501.31.04.</v>
          </cell>
          <cell r="C350" t="str">
            <v>Ex.</v>
          </cell>
          <cell r="E350" t="str">
            <v>Ex.</v>
          </cell>
        </row>
        <row r="351">
          <cell r="A351" t="str">
            <v>8501.31.99</v>
          </cell>
          <cell r="B351" t="str">
            <v>Los demás.</v>
          </cell>
          <cell r="C351" t="str">
            <v>Ex.</v>
          </cell>
          <cell r="E351" t="str">
            <v>Ex.</v>
          </cell>
        </row>
        <row r="352">
          <cell r="A352" t="str">
            <v>8501.32.01</v>
          </cell>
          <cell r="B352" t="str">
            <v>Generadores.</v>
          </cell>
          <cell r="C352" t="str">
            <v>Ex.</v>
          </cell>
          <cell r="E352" t="str">
            <v>Ex.</v>
          </cell>
        </row>
        <row r="353">
          <cell r="A353" t="str">
            <v>8501.32.05</v>
          </cell>
          <cell r="B353" t="str">
            <v>Motores de potencia igual o inferior a 3.75 kW (5 CP).</v>
          </cell>
          <cell r="C353" t="str">
            <v>Ex.</v>
          </cell>
          <cell r="E353" t="str">
            <v>Ex.</v>
          </cell>
        </row>
        <row r="354">
          <cell r="A354" t="str">
            <v>8501.32.99</v>
          </cell>
          <cell r="B354" t="str">
            <v>Los demás.</v>
          </cell>
          <cell r="C354" t="str">
            <v>Ex.</v>
          </cell>
          <cell r="E354" t="str">
            <v>Ex.</v>
          </cell>
        </row>
        <row r="355">
          <cell r="A355" t="str">
            <v>8501.33.01</v>
          </cell>
          <cell r="B355" t="str">
            <v>Generadores con capacidad hasta de 150 kW.</v>
          </cell>
          <cell r="C355" t="str">
            <v>Ex.</v>
          </cell>
          <cell r="E355" t="str">
            <v>Ex.</v>
          </cell>
        </row>
        <row r="356">
          <cell r="A356" t="str">
            <v>8501.33.99</v>
          </cell>
          <cell r="B356" t="str">
            <v>Los demás.</v>
          </cell>
          <cell r="C356" t="str">
            <v>Ex.</v>
          </cell>
          <cell r="E356" t="str">
            <v>Ex.</v>
          </cell>
        </row>
        <row r="357">
          <cell r="A357" t="str">
            <v>8501.40.05</v>
          </cell>
          <cell r="B357" t="str">
            <v>Síncronos, con potencia igual o inferior a 4,475 kW (6,000 CP).</v>
          </cell>
          <cell r="C357" t="str">
            <v>Ex.</v>
          </cell>
          <cell r="E357" t="str">
            <v>Ex.</v>
          </cell>
        </row>
        <row r="358">
          <cell r="A358" t="str">
            <v>8501.40.08</v>
          </cell>
          <cell r="B358" t="str">
            <v>Motores de corriente alterna, asíncronos monofásicos, según normas NMX-J-75 o NMX-J-226, o sus equivalentes, excepto los motores para ascensores o elevadores; para máquinas de afeitar o cortar el pelo, incluidas las esquiladoras y lo comprendido en la fracción arancelaria 8501.40.05.</v>
          </cell>
          <cell r="C358" t="str">
            <v>Ex.</v>
          </cell>
          <cell r="E358" t="str">
            <v>Ex.</v>
          </cell>
        </row>
        <row r="359">
          <cell r="A359" t="str">
            <v>8501.51.02</v>
          </cell>
          <cell r="B359" t="str">
            <v>Asíncronos, trifásicos.</v>
          </cell>
          <cell r="C359" t="str">
            <v>Ex.</v>
          </cell>
          <cell r="E359" t="str">
            <v>Ex.</v>
          </cell>
        </row>
        <row r="360">
          <cell r="A360" t="str">
            <v>8501.52.04</v>
          </cell>
          <cell r="B360" t="str">
            <v>Asíncronos, trifásicos, excepto los reconocibles para naves aéreas; para trolebuses; para ascensores o elevadores.</v>
          </cell>
          <cell r="C360" t="str">
            <v>Ex.</v>
          </cell>
          <cell r="E360" t="str">
            <v>Ex.</v>
          </cell>
        </row>
        <row r="361">
          <cell r="A361" t="str">
            <v>8501.53.04</v>
          </cell>
          <cell r="B361" t="str">
            <v>Asíncronos, trifásicos, con potencia de salida inferior o igual a 8,952 kW (12,000 CP), excepto los reconocibles para naves aéreas; para trolebuses, ascensores o elevadores.</v>
          </cell>
          <cell r="C361" t="str">
            <v>Ex.</v>
          </cell>
          <cell r="E361" t="str">
            <v>Ex.</v>
          </cell>
        </row>
        <row r="362">
          <cell r="A362" t="str">
            <v>8501.53.05</v>
          </cell>
          <cell r="B362" t="str">
            <v>Síncronos, con potencia de salida igual o inferior a 4,475 kW (6,000 CP), excepto los reconocibles para naves aéreas y para trolebuses.</v>
          </cell>
          <cell r="C362" t="str">
            <v>Ex.</v>
          </cell>
          <cell r="E362" t="str">
            <v>Ex.</v>
          </cell>
        </row>
        <row r="363">
          <cell r="A363" t="str">
            <v>8501.61.01</v>
          </cell>
          <cell r="B363" t="str">
            <v>De potencia inferior o igual a 75 kVA.</v>
          </cell>
          <cell r="C363" t="str">
            <v>Ex.</v>
          </cell>
          <cell r="E363" t="str">
            <v>Ex.</v>
          </cell>
        </row>
        <row r="364">
          <cell r="A364" t="str">
            <v>8501.62.01</v>
          </cell>
          <cell r="B364" t="str">
            <v>De potencia superior a 75 kVA pero inferior o igual a 375 kVA.</v>
          </cell>
          <cell r="C364" t="str">
            <v>Ex.</v>
          </cell>
          <cell r="E364" t="str">
            <v>Ex.</v>
          </cell>
        </row>
        <row r="365">
          <cell r="A365" t="str">
            <v>8501.63.01</v>
          </cell>
          <cell r="B365" t="str">
            <v>De potencia superior a 375 kVA pero inferior o igual a 750 kVA.</v>
          </cell>
          <cell r="C365" t="str">
            <v>Ex.</v>
          </cell>
          <cell r="E365" t="str">
            <v>Ex.</v>
          </cell>
        </row>
        <row r="366">
          <cell r="A366" t="str">
            <v>8501.64.01</v>
          </cell>
          <cell r="B366" t="str">
            <v>De potencia superior a 750 kVA, pero inferior o igual a 6,000 kVA, excepto lo comprendido en la fracción arancelaria 8501.64.03.</v>
          </cell>
          <cell r="C366" t="str">
            <v>Ex.</v>
          </cell>
          <cell r="E366" t="str">
            <v>Ex.</v>
          </cell>
        </row>
        <row r="367">
          <cell r="A367" t="str">
            <v>8501.71.01</v>
          </cell>
          <cell r="B367" t="str">
            <v>De potencia inferior o igual a 50 W.</v>
          </cell>
          <cell r="C367" t="str">
            <v>Ex.</v>
          </cell>
          <cell r="E367" t="str">
            <v>Ex.</v>
          </cell>
        </row>
        <row r="368">
          <cell r="A368" t="str">
            <v>8501.72.01</v>
          </cell>
          <cell r="B368" t="str">
            <v>De potencia superior a 150 kW pero inferior o igual a 375 kW.</v>
          </cell>
          <cell r="C368" t="str">
            <v>Ex.</v>
          </cell>
          <cell r="E368" t="str">
            <v>Ex.</v>
          </cell>
        </row>
        <row r="369">
          <cell r="A369" t="str">
            <v>8501.72.99</v>
          </cell>
          <cell r="B369" t="str">
            <v>Los demás.</v>
          </cell>
          <cell r="C369" t="str">
            <v>Ex.</v>
          </cell>
          <cell r="E369" t="str">
            <v>Ex.</v>
          </cell>
        </row>
        <row r="370">
          <cell r="A370" t="str">
            <v>8501.80.99</v>
          </cell>
          <cell r="B370" t="str">
            <v>Los demás.</v>
          </cell>
          <cell r="C370" t="str">
            <v>Ex.</v>
          </cell>
          <cell r="E370" t="str">
            <v>Ex.</v>
          </cell>
        </row>
        <row r="371">
          <cell r="A371" t="str">
            <v>8502.11.01</v>
          </cell>
          <cell r="B371" t="str">
            <v>De potencia inferior o igual a 75 kVA.</v>
          </cell>
          <cell r="C371" t="str">
            <v>Ex.</v>
          </cell>
          <cell r="E371" t="str">
            <v>Ex.</v>
          </cell>
        </row>
        <row r="372">
          <cell r="A372" t="str">
            <v>8502.12.01</v>
          </cell>
          <cell r="B372" t="str">
            <v>De potencia superior a 75 kVA pero inferior o igual a 375 kVA.</v>
          </cell>
          <cell r="C372" t="str">
            <v>Ex.</v>
          </cell>
          <cell r="E372" t="str">
            <v>Ex.</v>
          </cell>
        </row>
        <row r="373">
          <cell r="A373" t="str">
            <v>8502.20.99</v>
          </cell>
          <cell r="B373" t="str">
            <v>Los demás.</v>
          </cell>
          <cell r="C373" t="str">
            <v>Ex.</v>
          </cell>
          <cell r="D373" t="str">
            <v>Excepto: Con capacidad nominal de generación superior a 1,500 kVA pero inferior o igual a 2,000 kVA.</v>
          </cell>
          <cell r="E373" t="str">
            <v>Ex.Excepto: Con capacidad nominal de generación superior a 1,500 kVA pero inferior o igual a 2,000 kVA.</v>
          </cell>
        </row>
        <row r="374">
          <cell r="A374" t="str">
            <v>8502.40.01</v>
          </cell>
          <cell r="B374" t="str">
            <v>Convertidores rotativos eléctricos.</v>
          </cell>
          <cell r="C374" t="str">
            <v>Ex.</v>
          </cell>
          <cell r="E374" t="str">
            <v>Ex.</v>
          </cell>
        </row>
        <row r="375">
          <cell r="A375" t="str">
            <v>8504.10.01</v>
          </cell>
          <cell r="B375" t="str">
            <v>Balastos para lámparas.</v>
          </cell>
          <cell r="C375" t="str">
            <v>Ex.</v>
          </cell>
          <cell r="E375" t="str">
            <v>Ex.</v>
          </cell>
        </row>
        <row r="376">
          <cell r="A376" t="str">
            <v>8504.21.99</v>
          </cell>
          <cell r="B376" t="str">
            <v>Los demás.</v>
          </cell>
          <cell r="C376" t="str">
            <v>Ex.</v>
          </cell>
          <cell r="E376" t="str">
            <v>Ex.</v>
          </cell>
        </row>
        <row r="377">
          <cell r="A377" t="str">
            <v>8504.22.01</v>
          </cell>
          <cell r="B377" t="str">
            <v>De potencia superior a 650 kVA pero inferior o igual a 10,000 kVA.</v>
          </cell>
          <cell r="C377" t="str">
            <v>Ex.</v>
          </cell>
          <cell r="E377" t="str">
            <v>Ex.</v>
          </cell>
        </row>
        <row r="378">
          <cell r="A378" t="str">
            <v>8504.31.03</v>
          </cell>
          <cell r="B378" t="str">
            <v>De distribución, monofásicos o trifásicos.</v>
          </cell>
          <cell r="C378" t="str">
            <v>Ex.</v>
          </cell>
          <cell r="E378" t="str">
            <v>Ex.</v>
          </cell>
        </row>
        <row r="379">
          <cell r="A379" t="str">
            <v>8504.31.04</v>
          </cell>
          <cell r="B379" t="str">
            <v>Para instrumentos, para medición y/o protección.</v>
          </cell>
          <cell r="C379" t="str">
            <v>Ex.</v>
          </cell>
          <cell r="E379" t="str">
            <v>Ex.</v>
          </cell>
        </row>
        <row r="380">
          <cell r="A380" t="str">
            <v>8504.32.99</v>
          </cell>
          <cell r="B380" t="str">
            <v>Los demás.</v>
          </cell>
          <cell r="C380" t="str">
            <v>Ex.</v>
          </cell>
          <cell r="E380" t="str">
            <v>Ex.</v>
          </cell>
        </row>
        <row r="381">
          <cell r="A381" t="str">
            <v>8504.33.02</v>
          </cell>
          <cell r="B381" t="str">
            <v>De potencia superior a 16 kVA pero inferior o igual a 500 kVA.</v>
          </cell>
          <cell r="C381" t="str">
            <v>Ex.</v>
          </cell>
          <cell r="E381" t="str">
            <v>Ex.</v>
          </cell>
        </row>
        <row r="382">
          <cell r="A382" t="str">
            <v>8504.34.01</v>
          </cell>
          <cell r="B382" t="str">
            <v>De potencia superior a 500 kVA.</v>
          </cell>
          <cell r="C382" t="str">
            <v>Ex.</v>
          </cell>
          <cell r="E382" t="str">
            <v>Ex.</v>
          </cell>
        </row>
        <row r="383">
          <cell r="A383" t="str">
            <v>8504.40.01</v>
          </cell>
          <cell r="B383" t="str">
            <v>Para soldadura eléctrica, con capacidad nominal igual o inferior a 400 amperes.</v>
          </cell>
          <cell r="C383" t="str">
            <v>Ex.</v>
          </cell>
          <cell r="E383" t="str">
            <v>Ex.</v>
          </cell>
        </row>
        <row r="384">
          <cell r="A384" t="str">
            <v>8504.40.13</v>
          </cell>
          <cell r="B384" t="str">
            <v>Controladores de velocidad para motores eléctricos.</v>
          </cell>
          <cell r="C384" t="str">
            <v>Ex.</v>
          </cell>
          <cell r="E384" t="str">
            <v>Ex.</v>
          </cell>
        </row>
        <row r="385">
          <cell r="A385" t="str">
            <v>8504.40.16</v>
          </cell>
          <cell r="B385" t="str">
            <v>Fuentes de voltaje, con conversión de corriente CA/CC/CA, llamadas "no break" o "uninterruptible power supply" ("UPS"), excepto reguladores automáticos de voltaje y lo comprendido en la fracción arancelaria 8504.40.14.</v>
          </cell>
          <cell r="C385" t="str">
            <v>Ex.</v>
          </cell>
          <cell r="E385" t="str">
            <v>Ex.</v>
          </cell>
        </row>
        <row r="386">
          <cell r="A386" t="str">
            <v>8504.40.99</v>
          </cell>
          <cell r="B386" t="str">
            <v>Los demás.</v>
          </cell>
          <cell r="C386" t="str">
            <v>Ex.</v>
          </cell>
          <cell r="E386" t="str">
            <v>Ex.</v>
          </cell>
        </row>
        <row r="387">
          <cell r="A387" t="str">
            <v>8505.20.01</v>
          </cell>
          <cell r="B387" t="str">
            <v>Acoplamientos, embragues, variadores de velocidad y frenos, electromagnéticos.</v>
          </cell>
          <cell r="C387" t="str">
            <v>Ex.</v>
          </cell>
          <cell r="E387" t="str">
            <v>Ex.</v>
          </cell>
        </row>
        <row r="388">
          <cell r="A388" t="str">
            <v>8507.10.99</v>
          </cell>
          <cell r="B388" t="str">
            <v>Los demás.</v>
          </cell>
          <cell r="C388" t="str">
            <v>Ex.</v>
          </cell>
          <cell r="E388" t="str">
            <v>Ex.</v>
          </cell>
        </row>
        <row r="389">
          <cell r="A389" t="str">
            <v>8507.20.99</v>
          </cell>
          <cell r="B389" t="str">
            <v>Los demás.</v>
          </cell>
          <cell r="C389" t="str">
            <v>Ex.</v>
          </cell>
          <cell r="E389" t="str">
            <v>Ex.</v>
          </cell>
        </row>
        <row r="390">
          <cell r="A390" t="str">
            <v>8508.11.01</v>
          </cell>
          <cell r="B390" t="str">
            <v>De potencia inferior o igual a 1,500 W y de capacidad del depósito o bolsa para el polvo inferior o igual a 20 l.</v>
          </cell>
          <cell r="C390" t="str">
            <v>Ex.</v>
          </cell>
          <cell r="E390" t="str">
            <v>Ex.</v>
          </cell>
        </row>
        <row r="391">
          <cell r="A391" t="str">
            <v>8508.19.99</v>
          </cell>
          <cell r="B391" t="str">
            <v>Las demás.</v>
          </cell>
          <cell r="C391" t="str">
            <v>Ex.</v>
          </cell>
          <cell r="E391" t="str">
            <v>Ex.</v>
          </cell>
        </row>
        <row r="392">
          <cell r="A392" t="str">
            <v>8508.60.91</v>
          </cell>
          <cell r="B392" t="str">
            <v>Las demás aspiradoras.</v>
          </cell>
          <cell r="C392" t="str">
            <v>Ex.</v>
          </cell>
          <cell r="E392" t="str">
            <v>Ex.</v>
          </cell>
        </row>
        <row r="393">
          <cell r="A393" t="str">
            <v>8508.70.01</v>
          </cell>
          <cell r="B393" t="str">
            <v>Reconocibles como diseñadas exclusivamente para aspiradoras, con peso superior a 20 kg, para uso industrial.</v>
          </cell>
          <cell r="C393" t="str">
            <v>Ex.</v>
          </cell>
          <cell r="E393" t="str">
            <v>Ex.</v>
          </cell>
        </row>
        <row r="394">
          <cell r="A394" t="str">
            <v>8508.70.02</v>
          </cell>
          <cell r="B394" t="str">
            <v>Carcasas.</v>
          </cell>
          <cell r="C394" t="str">
            <v>Ex.</v>
          </cell>
          <cell r="E394" t="str">
            <v>Ex.</v>
          </cell>
        </row>
        <row r="395">
          <cell r="A395" t="str">
            <v>8508.70.99</v>
          </cell>
          <cell r="B395" t="str">
            <v>Las demás.</v>
          </cell>
          <cell r="C395" t="str">
            <v>Ex.</v>
          </cell>
          <cell r="E395" t="str">
            <v>Ex.</v>
          </cell>
        </row>
        <row r="396">
          <cell r="A396" t="str">
            <v>8509.80.99</v>
          </cell>
          <cell r="B396" t="str">
            <v>Los demás.</v>
          </cell>
          <cell r="C396" t="str">
            <v>Ex.</v>
          </cell>
          <cell r="D396" t="str">
            <v>Únicamente: Trituradoras de desperdicios de cocina.</v>
          </cell>
          <cell r="E396" t="str">
            <v>Ex.Únicamente: Trituradoras de desperdicios de cocina.</v>
          </cell>
        </row>
        <row r="397">
          <cell r="A397" t="str">
            <v>8510.90.03</v>
          </cell>
          <cell r="B397" t="str">
            <v>Hojas con o sin filo.</v>
          </cell>
          <cell r="C397" t="str">
            <v>Ex.</v>
          </cell>
          <cell r="E397" t="str">
            <v>Ex.</v>
          </cell>
        </row>
        <row r="398">
          <cell r="A398" t="str">
            <v>8510.90.99</v>
          </cell>
          <cell r="B398" t="str">
            <v>Los demás.</v>
          </cell>
          <cell r="C398" t="str">
            <v>Ex.</v>
          </cell>
          <cell r="E398" t="str">
            <v>Ex.</v>
          </cell>
        </row>
        <row r="399">
          <cell r="A399" t="str">
            <v>8511.80.01</v>
          </cell>
          <cell r="B399" t="str">
            <v>Reguladores de arranque.</v>
          </cell>
          <cell r="C399" t="str">
            <v>Ex.</v>
          </cell>
          <cell r="E399" t="str">
            <v>Ex.</v>
          </cell>
        </row>
        <row r="400">
          <cell r="A400" t="str">
            <v>8511.80.99</v>
          </cell>
          <cell r="B400" t="str">
            <v>Los demás.</v>
          </cell>
          <cell r="C400" t="str">
            <v>Ex.</v>
          </cell>
          <cell r="E400" t="str">
            <v>Ex.</v>
          </cell>
        </row>
        <row r="401">
          <cell r="A401" t="str">
            <v>8513.10.99</v>
          </cell>
          <cell r="B401" t="str">
            <v>Las demás.</v>
          </cell>
          <cell r="C401" t="str">
            <v>Ex.</v>
          </cell>
          <cell r="E401" t="str">
            <v>Ex.</v>
          </cell>
        </row>
        <row r="402">
          <cell r="A402" t="str">
            <v>8514.11.01</v>
          </cell>
          <cell r="B402" t="str">
            <v>Prensas isostáticas en caliente.</v>
          </cell>
          <cell r="C402" t="str">
            <v>Ex.</v>
          </cell>
          <cell r="E402" t="str">
            <v>Ex.</v>
          </cell>
        </row>
        <row r="403">
          <cell r="A403" t="str">
            <v>8514.19.03</v>
          </cell>
          <cell r="B403" t="str">
            <v>Hornos industriales, excepto lo comprendido en las fracciones arancelarias 8514.19.01, 8514.19.02 y 8514.19.04.</v>
          </cell>
          <cell r="C403" t="str">
            <v>Ex.</v>
          </cell>
          <cell r="E403" t="str">
            <v>Ex.</v>
          </cell>
        </row>
        <row r="404">
          <cell r="A404" t="str">
            <v>8514.19.99</v>
          </cell>
          <cell r="B404" t="str">
            <v>Los demás.</v>
          </cell>
          <cell r="C404" t="str">
            <v>Ex.</v>
          </cell>
          <cell r="E404" t="str">
            <v>Ex.</v>
          </cell>
        </row>
        <row r="405">
          <cell r="A405" t="str">
            <v>8514.20.03</v>
          </cell>
          <cell r="B405" t="str">
            <v>Hornos industriales, excepto lo comprendido en las fracciones arancelarias 8514.20.01, 8514.20.02, 8514.20.04 y 8514.20.05.</v>
          </cell>
          <cell r="C405" t="str">
            <v>Ex.</v>
          </cell>
          <cell r="E405" t="str">
            <v>Ex.</v>
          </cell>
        </row>
        <row r="406">
          <cell r="A406" t="str">
            <v>8514.20.99</v>
          </cell>
          <cell r="B406" t="str">
            <v>Los demás.</v>
          </cell>
          <cell r="C406" t="str">
            <v>Ex.</v>
          </cell>
          <cell r="E406" t="str">
            <v>Ex.</v>
          </cell>
        </row>
        <row r="407">
          <cell r="A407" t="str">
            <v>8515.11.01</v>
          </cell>
          <cell r="B407" t="str">
            <v>Para soldar o cortar, portátiles ("cautines").</v>
          </cell>
          <cell r="C407" t="str">
            <v>Ex.</v>
          </cell>
          <cell r="E407" t="str">
            <v>Ex.</v>
          </cell>
        </row>
        <row r="408">
          <cell r="A408" t="str">
            <v>8515.11.99</v>
          </cell>
          <cell r="B408" t="str">
            <v>Los demás.</v>
          </cell>
          <cell r="C408" t="str">
            <v>Ex.</v>
          </cell>
          <cell r="E408" t="str">
            <v>Ex.</v>
          </cell>
        </row>
        <row r="409">
          <cell r="A409" t="str">
            <v>8515.19.99</v>
          </cell>
          <cell r="B409" t="str">
            <v>Los demás.</v>
          </cell>
          <cell r="C409" t="str">
            <v>Ex.</v>
          </cell>
          <cell r="E409" t="str">
            <v>Ex.</v>
          </cell>
        </row>
        <row r="410">
          <cell r="A410" t="str">
            <v>8515.21.99</v>
          </cell>
          <cell r="B410" t="str">
            <v>Los demás.</v>
          </cell>
          <cell r="C410" t="str">
            <v>Ex.</v>
          </cell>
          <cell r="E410" t="str">
            <v>Ex.</v>
          </cell>
        </row>
        <row r="411">
          <cell r="A411" t="str">
            <v>8515.31.01</v>
          </cell>
          <cell r="B411" t="str">
            <v>Para soldar o cortar, de arco, tipo generador o transformador, inferior o igual a 1,260 amperes.</v>
          </cell>
          <cell r="C411" t="str">
            <v>Ex.</v>
          </cell>
          <cell r="E411" t="str">
            <v>Ex.</v>
          </cell>
        </row>
        <row r="412">
          <cell r="A412" t="str">
            <v>8515.31.99</v>
          </cell>
          <cell r="B412" t="str">
            <v>Los demás.</v>
          </cell>
          <cell r="C412" t="str">
            <v>Ex.</v>
          </cell>
          <cell r="E412" t="str">
            <v>Ex.</v>
          </cell>
        </row>
        <row r="413">
          <cell r="A413" t="str">
            <v>8515.39.01</v>
          </cell>
          <cell r="B413" t="str">
            <v>Para soldar o cortar, de arco, tipo generador o transformador, inferior o igual a 1,260 amperes.</v>
          </cell>
          <cell r="C413" t="str">
            <v>Ex.</v>
          </cell>
          <cell r="E413" t="str">
            <v>Ex.</v>
          </cell>
        </row>
        <row r="414">
          <cell r="A414" t="str">
            <v>8515.39.99</v>
          </cell>
          <cell r="B414" t="str">
            <v>Los demás.</v>
          </cell>
          <cell r="C414" t="str">
            <v>Ex.</v>
          </cell>
          <cell r="E414" t="str">
            <v>Ex.</v>
          </cell>
        </row>
        <row r="415">
          <cell r="A415" t="str">
            <v>8515.90.01</v>
          </cell>
          <cell r="B415" t="str">
            <v>Pinzas portaelectrodos o sus partes, para soldadura por arco.</v>
          </cell>
          <cell r="C415" t="str">
            <v>Ex.</v>
          </cell>
          <cell r="E415" t="str">
            <v>Ex.</v>
          </cell>
        </row>
        <row r="416">
          <cell r="A416" t="str">
            <v>8516.10.02</v>
          </cell>
          <cell r="B416" t="str">
            <v>Calentadores eléctricos de agua de calentamiento instantáneo o acumulación y calentadores eléctricos de inmersión.</v>
          </cell>
          <cell r="C416" t="str">
            <v>Ex.</v>
          </cell>
          <cell r="E416" t="str">
            <v>Ex.</v>
          </cell>
        </row>
        <row r="417">
          <cell r="A417" t="str">
            <v>8516.29.99</v>
          </cell>
          <cell r="B417" t="str">
            <v>Los demás.</v>
          </cell>
          <cell r="C417" t="str">
            <v>Ex.</v>
          </cell>
          <cell r="D417" t="str">
            <v>Excepto: Estufas.</v>
          </cell>
          <cell r="E417" t="str">
            <v>Ex.Excepto: Estufas.</v>
          </cell>
        </row>
        <row r="418">
          <cell r="A418" t="str">
            <v>8516.79.99</v>
          </cell>
          <cell r="B418" t="str">
            <v>Los demás.</v>
          </cell>
          <cell r="C418" t="str">
            <v>Ex.</v>
          </cell>
          <cell r="E418" t="str">
            <v>Ex.</v>
          </cell>
        </row>
        <row r="419">
          <cell r="A419" t="str">
            <v>8517.69.91</v>
          </cell>
          <cell r="B419" t="str">
            <v>Los demás aparatos receptores.</v>
          </cell>
          <cell r="C419" t="str">
            <v>Ex.</v>
          </cell>
          <cell r="E419" t="str">
            <v>Ex.</v>
          </cell>
        </row>
        <row r="420">
          <cell r="A420" t="str">
            <v>8518.21.02</v>
          </cell>
          <cell r="B420" t="str">
            <v>Un altavoz (altoparlante) montado en su caja.</v>
          </cell>
          <cell r="C420" t="str">
            <v>Ex.</v>
          </cell>
          <cell r="E420" t="str">
            <v>Ex.</v>
          </cell>
        </row>
        <row r="421">
          <cell r="A421" t="str">
            <v>8518.22.02</v>
          </cell>
          <cell r="B421" t="str">
            <v>Varios altavoces (altoparlantes) montados en una misma caja.</v>
          </cell>
          <cell r="C421" t="str">
            <v>Ex.</v>
          </cell>
          <cell r="E421" t="str">
            <v>Ex.</v>
          </cell>
        </row>
        <row r="422">
          <cell r="A422" t="str">
            <v>8518.30.03</v>
          </cell>
          <cell r="B422" t="str">
            <v>Microteléfono.</v>
          </cell>
          <cell r="C422" t="str">
            <v>Ex.</v>
          </cell>
          <cell r="E422" t="str">
            <v>Ex.</v>
          </cell>
        </row>
        <row r="423">
          <cell r="A423" t="str">
            <v>8518.40.99</v>
          </cell>
          <cell r="B423" t="str">
            <v>Los demás.</v>
          </cell>
          <cell r="C423" t="str">
            <v>Ex.</v>
          </cell>
          <cell r="E423" t="str">
            <v>Ex.</v>
          </cell>
        </row>
        <row r="424">
          <cell r="A424" t="str">
            <v>8519.81.13</v>
          </cell>
          <cell r="B424" t="str">
            <v>Contestadores telefónicos.</v>
          </cell>
          <cell r="C424" t="str">
            <v>Ex.</v>
          </cell>
          <cell r="E424" t="str">
            <v>Ex.</v>
          </cell>
        </row>
        <row r="425">
          <cell r="A425" t="str">
            <v>8519.81.99</v>
          </cell>
          <cell r="B425" t="str">
            <v>Los demás.</v>
          </cell>
          <cell r="C425" t="str">
            <v>Ex.</v>
          </cell>
          <cell r="D425" t="str">
            <v>Excepto: Aparatos de grabación de sonido, almacenado en soportes de tecnología digital, incluso con dispositivo de reproducción incorporado.</v>
          </cell>
          <cell r="E425" t="str">
            <v>Ex.Excepto: Aparatos de grabación de sonido, almacenado en soportes de tecnología digital, incluso con dispositivo de reproducción incorporado.</v>
          </cell>
        </row>
        <row r="426">
          <cell r="A426" t="str">
            <v>8521.90.99</v>
          </cell>
          <cell r="B426" t="str">
            <v>Los demás.</v>
          </cell>
          <cell r="C426" t="str">
            <v>Ex.</v>
          </cell>
          <cell r="E426" t="str">
            <v>Ex.</v>
          </cell>
        </row>
        <row r="427">
          <cell r="A427" t="str">
            <v>8523.29.91</v>
          </cell>
          <cell r="B427" t="str">
            <v>Las demás cintas magnéticas grabadas.</v>
          </cell>
          <cell r="C427" t="str">
            <v>Ex.</v>
          </cell>
          <cell r="E427" t="str">
            <v>Ex.</v>
          </cell>
        </row>
        <row r="428">
          <cell r="A428" t="str">
            <v>8523.41.01</v>
          </cell>
          <cell r="B428" t="str">
            <v>Discos de escritura (conocidos como CD-R; DVD-R, y demás formatos), para sistemas de lectura por rayo láser.</v>
          </cell>
          <cell r="C428" t="str">
            <v>Ex.</v>
          </cell>
          <cell r="E428" t="str">
            <v>Ex.</v>
          </cell>
        </row>
        <row r="429">
          <cell r="A429" t="str">
            <v>8523.51.99</v>
          </cell>
          <cell r="B429" t="str">
            <v>Los demás.</v>
          </cell>
          <cell r="C429" t="str">
            <v>Ex.</v>
          </cell>
          <cell r="E429" t="str">
            <v>Ex.</v>
          </cell>
        </row>
        <row r="430">
          <cell r="A430" t="str">
            <v>8526.92.99</v>
          </cell>
          <cell r="B430" t="str">
            <v>Los demás.</v>
          </cell>
          <cell r="C430" t="str">
            <v>Ex.</v>
          </cell>
          <cell r="E430" t="str">
            <v>Ex.</v>
          </cell>
        </row>
        <row r="431">
          <cell r="A431" t="str">
            <v>8527.13.99</v>
          </cell>
          <cell r="B431" t="str">
            <v>Los demás.</v>
          </cell>
          <cell r="C431" t="str">
            <v>Ex.</v>
          </cell>
          <cell r="E431" t="str">
            <v>Ex.</v>
          </cell>
        </row>
        <row r="432">
          <cell r="A432" t="str">
            <v>8527.19.99</v>
          </cell>
          <cell r="B432" t="str">
            <v>Los demás.</v>
          </cell>
          <cell r="C432" t="str">
            <v>Ex.</v>
          </cell>
          <cell r="E432" t="str">
            <v>Ex.</v>
          </cell>
        </row>
        <row r="433">
          <cell r="A433" t="str">
            <v>8527.91.02</v>
          </cell>
          <cell r="B433" t="str">
            <v>Combinados con grabador o reproductor de sonido.</v>
          </cell>
          <cell r="C433" t="str">
            <v>Ex.</v>
          </cell>
          <cell r="D433" t="str">
            <v>Excepto: Portátil, para pilas y corriente, con altavoces y gabinete incorporados.</v>
          </cell>
          <cell r="E433" t="str">
            <v>Ex.Excepto: Portátil, para pilas y corriente, con altavoces y gabinete incorporados.</v>
          </cell>
        </row>
        <row r="434">
          <cell r="A434" t="str">
            <v>8527.92.01</v>
          </cell>
          <cell r="B434" t="str">
            <v>Sin combinar con grabador o reproductor de sonido, pero combinados con reloj.</v>
          </cell>
          <cell r="C434" t="str">
            <v>Ex.</v>
          </cell>
          <cell r="E434" t="str">
            <v>Ex.</v>
          </cell>
        </row>
        <row r="435">
          <cell r="A435" t="str">
            <v>8528.49.99</v>
          </cell>
          <cell r="B435" t="str">
            <v>Los demás.</v>
          </cell>
          <cell r="C435" t="str">
            <v>Ex.</v>
          </cell>
          <cell r="E435" t="str">
            <v>Ex.</v>
          </cell>
        </row>
        <row r="436">
          <cell r="A436" t="str">
            <v>8528.59.99</v>
          </cell>
          <cell r="B436" t="str">
            <v>Los demás.</v>
          </cell>
          <cell r="C436" t="str">
            <v>Ex.</v>
          </cell>
          <cell r="E436" t="str">
            <v>Ex.</v>
          </cell>
        </row>
        <row r="437">
          <cell r="A437" t="str">
            <v>8528.71.99</v>
          </cell>
          <cell r="B437" t="str">
            <v>Los demás.</v>
          </cell>
          <cell r="C437" t="str">
            <v>Ex.</v>
          </cell>
          <cell r="E437" t="str">
            <v>Ex.</v>
          </cell>
        </row>
        <row r="438">
          <cell r="A438" t="str">
            <v>8528.72.01</v>
          </cell>
          <cell r="B438" t="str">
            <v>Con pantalla inferior o igual a 35.56 cm (14 pulgadas), excepto los de alta definición, los tipo proyección y los comprendidos en la fracción arancelaria 8528.72.06.</v>
          </cell>
          <cell r="C438" t="str">
            <v>Ex.</v>
          </cell>
          <cell r="E438" t="str">
            <v>Ex.</v>
          </cell>
        </row>
        <row r="439">
          <cell r="A439" t="str">
            <v>8528.72.02</v>
          </cell>
          <cell r="B439" t="str">
            <v>Con pantalla superior a 35.56 cm (14 pulgadas), excepto los de alta definición, los tipo proyección y los comprendidos en la fracción arancelaria 8528.72.06.</v>
          </cell>
          <cell r="C439" t="str">
            <v>Ex.</v>
          </cell>
          <cell r="E439" t="str">
            <v>Ex.</v>
          </cell>
        </row>
        <row r="440">
          <cell r="A440" t="str">
            <v>8528.72.99</v>
          </cell>
          <cell r="B440" t="str">
            <v>Los demás.</v>
          </cell>
          <cell r="C440" t="str">
            <v>Ex.</v>
          </cell>
          <cell r="E440" t="str">
            <v>Ex.</v>
          </cell>
        </row>
        <row r="441">
          <cell r="A441" t="str">
            <v>8531.10.99</v>
          </cell>
          <cell r="B441" t="str">
            <v>Los demás.</v>
          </cell>
          <cell r="C441" t="str">
            <v>Ex.</v>
          </cell>
          <cell r="D441" t="str">
            <v>Excepto: Detectores electrónicos de humo, de monóxido de carbono, o de calor.</v>
          </cell>
          <cell r="E441" t="str">
            <v>Ex.Excepto: Detectores electrónicos de humo, de monóxido de carbono, o de calor.</v>
          </cell>
        </row>
        <row r="442">
          <cell r="A442" t="str">
            <v>8531.80.01</v>
          </cell>
          <cell r="B442" t="str">
            <v>Sirenas.</v>
          </cell>
          <cell r="C442" t="str">
            <v>Ex.</v>
          </cell>
          <cell r="E442" t="str">
            <v>Ex.</v>
          </cell>
        </row>
        <row r="443">
          <cell r="A443" t="str">
            <v>8531.80.99</v>
          </cell>
          <cell r="B443" t="str">
            <v>Los demás.</v>
          </cell>
          <cell r="C443" t="str">
            <v>Ex.</v>
          </cell>
          <cell r="E443" t="str">
            <v>Ex.</v>
          </cell>
        </row>
        <row r="444">
          <cell r="A444" t="str">
            <v>8532.25.02</v>
          </cell>
          <cell r="B444" t="str">
            <v>Fijos de películas plásticas, excepto los reconocibles para naves aéreas y aquellos con dieléctrico de plástico, sin terminales, de montaje por contacto.</v>
          </cell>
          <cell r="C444" t="str">
            <v>Ex.</v>
          </cell>
          <cell r="E444" t="str">
            <v>Ex.</v>
          </cell>
        </row>
        <row r="445">
          <cell r="A445" t="str">
            <v>8535.10.99</v>
          </cell>
          <cell r="B445" t="str">
            <v>Los demás.</v>
          </cell>
          <cell r="C445" t="str">
            <v>Ex.</v>
          </cell>
          <cell r="E445" t="str">
            <v>Ex.</v>
          </cell>
        </row>
        <row r="446">
          <cell r="A446" t="str">
            <v>8536.10.03</v>
          </cell>
          <cell r="B446" t="str">
            <v xml:space="preserve">Fusibles de alta capacidad de ruptura, de 20,000 amperes eficaces o más y cualquier corriente nominal, hasta 600 voltios de tensión, inclusive; excepto los reconocibles para naves aéreas. </v>
          </cell>
          <cell r="C446" t="str">
            <v>Ex.</v>
          </cell>
          <cell r="E446" t="str">
            <v>Ex.</v>
          </cell>
        </row>
        <row r="447">
          <cell r="A447" t="str">
            <v>8536.10.04</v>
          </cell>
          <cell r="B447" t="str">
            <v>Corta circuitos de fusible excepto los reconocibles para naves aéreas.</v>
          </cell>
          <cell r="C447" t="str">
            <v>Ex.</v>
          </cell>
          <cell r="E447" t="str">
            <v>Ex.</v>
          </cell>
        </row>
        <row r="448">
          <cell r="A448" t="str">
            <v>8536.20.99</v>
          </cell>
          <cell r="B448" t="str">
            <v>Los demás.</v>
          </cell>
          <cell r="C448" t="str">
            <v>Ex.</v>
          </cell>
          <cell r="E448" t="str">
            <v>Ex.</v>
          </cell>
        </row>
        <row r="449">
          <cell r="A449" t="str">
            <v>8536.41.03</v>
          </cell>
          <cell r="B449" t="str">
            <v>Térmicos o por inducción.</v>
          </cell>
          <cell r="C449" t="str">
            <v>Ex.</v>
          </cell>
          <cell r="E449" t="str">
            <v>Ex.</v>
          </cell>
        </row>
        <row r="450">
          <cell r="A450" t="str">
            <v>8536.69.02</v>
          </cell>
          <cell r="B450" t="str">
            <v>Tomas de corriente con peso unitario inferior o igual a 2 kg.</v>
          </cell>
          <cell r="C450" t="str">
            <v>Ex.</v>
          </cell>
          <cell r="E450" t="str">
            <v>Ex.</v>
          </cell>
        </row>
        <row r="451">
          <cell r="A451" t="str">
            <v>8536.90.28</v>
          </cell>
          <cell r="B451" t="str">
            <v>Cajas de conexión, de derivación, de corte, extremidad u otras cajas análogas.</v>
          </cell>
          <cell r="C451" t="str">
            <v>Ex.</v>
          </cell>
          <cell r="E451" t="str">
            <v>Ex.</v>
          </cell>
        </row>
        <row r="452">
          <cell r="A452" t="str">
            <v>8537.10.03</v>
          </cell>
          <cell r="B452" t="str">
            <v>Cuadros de mando para máquinas de soldar por resistencia.</v>
          </cell>
          <cell r="C452" t="str">
            <v>Ex.</v>
          </cell>
          <cell r="E452" t="str">
            <v>Ex.</v>
          </cell>
        </row>
        <row r="453">
          <cell r="A453" t="str">
            <v>8537.10.04</v>
          </cell>
          <cell r="B453" t="str">
            <v>Cuadros de mando o distribución, operados mediante botones (botoneras).</v>
          </cell>
          <cell r="C453" t="str">
            <v>Ex.</v>
          </cell>
          <cell r="E453" t="str">
            <v>Ex.</v>
          </cell>
        </row>
        <row r="454">
          <cell r="A454" t="str">
            <v>8539.21.99</v>
          </cell>
          <cell r="B454" t="str">
            <v>Los demás.</v>
          </cell>
          <cell r="C454" t="str">
            <v>Ex.</v>
          </cell>
          <cell r="E454" t="str">
            <v>Ex.</v>
          </cell>
        </row>
        <row r="455">
          <cell r="A455" t="str">
            <v>8539.22.99</v>
          </cell>
          <cell r="B455" t="str">
            <v>Los demás.</v>
          </cell>
          <cell r="C455" t="str">
            <v>Ex.</v>
          </cell>
          <cell r="E455" t="str">
            <v>Ex.</v>
          </cell>
        </row>
        <row r="456">
          <cell r="A456" t="str">
            <v>8539.31.99</v>
          </cell>
          <cell r="B456" t="str">
            <v>Las demás.</v>
          </cell>
          <cell r="C456" t="str">
            <v>Ex.</v>
          </cell>
          <cell r="E456" t="str">
            <v>Ex.</v>
          </cell>
        </row>
        <row r="457">
          <cell r="A457" t="str">
            <v>8539.39.99</v>
          </cell>
          <cell r="B457" t="str">
            <v>Los demás.</v>
          </cell>
          <cell r="C457" t="str">
            <v>Ex.</v>
          </cell>
          <cell r="E457" t="str">
            <v>Ex.</v>
          </cell>
        </row>
        <row r="458">
          <cell r="A458" t="str">
            <v>8543.70.17</v>
          </cell>
          <cell r="B458" t="str">
            <v>Ecualizadores.</v>
          </cell>
          <cell r="C458" t="str">
            <v>Ex.</v>
          </cell>
          <cell r="E458" t="str">
            <v>Ex.</v>
          </cell>
        </row>
        <row r="459">
          <cell r="A459" t="str">
            <v>8544.11.01</v>
          </cell>
          <cell r="B459" t="str">
            <v>De cobre.</v>
          </cell>
          <cell r="C459" t="str">
            <v>Ex.</v>
          </cell>
          <cell r="E459" t="str">
            <v>Ex.</v>
          </cell>
        </row>
        <row r="460">
          <cell r="A460" t="str">
            <v>8544.19.99</v>
          </cell>
          <cell r="B460" t="str">
            <v>Los demás.</v>
          </cell>
          <cell r="C460" t="str">
            <v>Ex.</v>
          </cell>
          <cell r="E460" t="str">
            <v>Ex.</v>
          </cell>
        </row>
        <row r="461">
          <cell r="A461" t="str">
            <v>8544.20.01</v>
          </cell>
          <cell r="B461" t="str">
            <v>Cables coaxiales, de uno o más conductores eléctricos, aislados y con funda de malla de metal, aun cuando vengan recubiertos de materias aislantes, con o sin mensajero de acero, con una impedancia de 50 a 75 ohms.</v>
          </cell>
          <cell r="C461" t="str">
            <v>Ex.</v>
          </cell>
          <cell r="E461" t="str">
            <v>Ex.</v>
          </cell>
        </row>
        <row r="462">
          <cell r="A462" t="str">
            <v>8544.20.99</v>
          </cell>
          <cell r="B462" t="str">
            <v>Los demás.</v>
          </cell>
          <cell r="C462" t="str">
            <v>Ex.</v>
          </cell>
          <cell r="E462" t="str">
            <v>Ex.</v>
          </cell>
        </row>
        <row r="463">
          <cell r="A463" t="str">
            <v>8544.30.99</v>
          </cell>
          <cell r="B463" t="str">
            <v>Los demás.</v>
          </cell>
          <cell r="C463" t="str">
            <v>Ex.</v>
          </cell>
          <cell r="D463" t="str">
            <v>Excepto: Arneses reconocibles como diseñados exclusivamente para uso automotriz.</v>
          </cell>
          <cell r="E463" t="str">
            <v>Ex.Excepto: Arneses reconocibles como diseñados exclusivamente para uso automotriz.</v>
          </cell>
        </row>
        <row r="464">
          <cell r="A464" t="str">
            <v>8544.42.99</v>
          </cell>
          <cell r="B464" t="str">
            <v>Los demás.</v>
          </cell>
          <cell r="C464" t="str">
            <v>Ex.</v>
          </cell>
          <cell r="E464" t="str">
            <v>Ex.</v>
          </cell>
        </row>
        <row r="465">
          <cell r="A465" t="str">
            <v>8544.49.99</v>
          </cell>
          <cell r="B465" t="str">
            <v>Los demás.</v>
          </cell>
          <cell r="C465" t="str">
            <v>Ex.</v>
          </cell>
          <cell r="E465" t="str">
            <v>Ex.</v>
          </cell>
        </row>
        <row r="466">
          <cell r="A466" t="str">
            <v>8544.60.91</v>
          </cell>
          <cell r="B466" t="str">
            <v>Los demás conductores eléctricos para una tensión superior a 1,000 V.</v>
          </cell>
          <cell r="C466" t="str">
            <v>Ex.</v>
          </cell>
          <cell r="E466" t="str">
            <v>Ex.</v>
          </cell>
        </row>
        <row r="467">
          <cell r="A467" t="str">
            <v>8546.10.99</v>
          </cell>
          <cell r="B467" t="str">
            <v>Los demás.</v>
          </cell>
          <cell r="C467" t="str">
            <v>Ex.</v>
          </cell>
          <cell r="E467" t="str">
            <v>Ex.</v>
          </cell>
        </row>
        <row r="468">
          <cell r="A468" t="str">
            <v>8546.20.99</v>
          </cell>
          <cell r="B468" t="str">
            <v>Los demás.</v>
          </cell>
          <cell r="C468" t="str">
            <v>Ex.</v>
          </cell>
          <cell r="E468" t="str">
            <v>Ex.</v>
          </cell>
        </row>
        <row r="469">
          <cell r="A469" t="str">
            <v>8546.90.99</v>
          </cell>
          <cell r="B469" t="str">
            <v>Los demás.</v>
          </cell>
          <cell r="C469" t="str">
            <v>Ex.</v>
          </cell>
          <cell r="E469" t="str">
            <v>Ex.</v>
          </cell>
        </row>
        <row r="470">
          <cell r="A470" t="str">
            <v>8609.00.01</v>
          </cell>
          <cell r="B470" t="str">
            <v>Contenedores (incluidos los contenedores cisterna y los contenedores depósito) especialmente diseñados y equipados para uno o varios medios de transporte.</v>
          </cell>
          <cell r="C470" t="str">
            <v>Ex.</v>
          </cell>
          <cell r="E470" t="str">
            <v>Ex.</v>
          </cell>
        </row>
        <row r="471">
          <cell r="A471" t="str">
            <v>8716.80.99</v>
          </cell>
          <cell r="B471" t="str">
            <v>Los demás.</v>
          </cell>
          <cell r="C471" t="str">
            <v>Ex.</v>
          </cell>
          <cell r="D471" t="str">
            <v>Únicamente: Carretillas y carros de mano; carretillas de accionamiento hidráulico.</v>
          </cell>
          <cell r="E471" t="str">
            <v>Ex.Únicamente: Carretillas y carros de mano; carretillas de accionamiento hidráulico.</v>
          </cell>
        </row>
        <row r="472">
          <cell r="A472" t="str">
            <v>9004.90.99</v>
          </cell>
          <cell r="B472" t="str">
            <v>Los demás.</v>
          </cell>
          <cell r="C472" t="str">
            <v>Ex.</v>
          </cell>
          <cell r="E472" t="str">
            <v>Ex.</v>
          </cell>
        </row>
        <row r="473">
          <cell r="A473" t="str">
            <v>9005.80.91</v>
          </cell>
          <cell r="B473" t="str">
            <v>Los demás instrumentos.</v>
          </cell>
          <cell r="C473" t="str">
            <v>Ex.</v>
          </cell>
          <cell r="E473" t="str">
            <v>Ex.</v>
          </cell>
        </row>
        <row r="474">
          <cell r="A474" t="str">
            <v>9006.69.99</v>
          </cell>
          <cell r="B474" t="str">
            <v>Los demás.</v>
          </cell>
          <cell r="C474" t="str">
            <v>Ex.</v>
          </cell>
          <cell r="D474" t="str">
            <v>Excepto: Lámparas y cubos, de destello, y similares.</v>
          </cell>
          <cell r="E474" t="str">
            <v>Ex.Excepto: Lámparas y cubos, de destello, y similares.</v>
          </cell>
        </row>
        <row r="475">
          <cell r="A475" t="str">
            <v>9010.60.01</v>
          </cell>
          <cell r="B475" t="str">
            <v>Pantallas de proyección.</v>
          </cell>
          <cell r="C475" t="str">
            <v>Ex.</v>
          </cell>
          <cell r="E475" t="str">
            <v>Ex.</v>
          </cell>
        </row>
        <row r="476">
          <cell r="A476" t="str">
            <v>9011.10.99</v>
          </cell>
          <cell r="B476" t="str">
            <v>Los demás.</v>
          </cell>
          <cell r="C476" t="str">
            <v>Ex.</v>
          </cell>
          <cell r="E476" t="str">
            <v>Ex.</v>
          </cell>
        </row>
        <row r="477">
          <cell r="A477" t="str">
            <v>9011.20.91</v>
          </cell>
          <cell r="B477" t="str">
            <v>Los demás microscopios para fotomicrografía, cinefotomicrografía o microproyección.</v>
          </cell>
          <cell r="C477" t="str">
            <v>Ex.</v>
          </cell>
          <cell r="E477" t="str">
            <v>Ex.</v>
          </cell>
        </row>
        <row r="478">
          <cell r="A478" t="str">
            <v>9011.80.91</v>
          </cell>
          <cell r="B478" t="str">
            <v>Los demás microscopios.</v>
          </cell>
          <cell r="C478" t="str">
            <v>Ex.</v>
          </cell>
          <cell r="E478" t="str">
            <v>Ex.</v>
          </cell>
        </row>
        <row r="479">
          <cell r="A479" t="str">
            <v>9017.10.99</v>
          </cell>
          <cell r="B479" t="str">
            <v>Los demás.</v>
          </cell>
          <cell r="C479" t="str">
            <v>Ex.</v>
          </cell>
          <cell r="D479" t="str">
            <v>Excepto: Máquinas para dibujar o escuadras universales, aun cuando se presenten con su tablero de dibujo.</v>
          </cell>
          <cell r="E479" t="str">
            <v>Ex.Excepto: Máquinas para dibujar o escuadras universales, aun cuando se presenten con su tablero de dibujo.</v>
          </cell>
        </row>
        <row r="480">
          <cell r="A480" t="str">
            <v>9017.20.99</v>
          </cell>
          <cell r="B480" t="str">
            <v>Los demás.</v>
          </cell>
          <cell r="C480" t="str">
            <v>Ex.</v>
          </cell>
          <cell r="E480" t="str">
            <v>Ex.</v>
          </cell>
        </row>
        <row r="481">
          <cell r="A481" t="str">
            <v>9017.80.99</v>
          </cell>
          <cell r="B481" t="str">
            <v>Los demás.</v>
          </cell>
          <cell r="C481" t="str">
            <v>Ex.</v>
          </cell>
          <cell r="E481" t="str">
            <v>Ex.</v>
          </cell>
        </row>
        <row r="482">
          <cell r="A482" t="str">
            <v>9018.31.01</v>
          </cell>
          <cell r="B482" t="str">
            <v>De vidrio o de plástico, con capacidad hasta 30 ml.</v>
          </cell>
          <cell r="C482" t="str">
            <v>Ex.</v>
          </cell>
          <cell r="E482" t="str">
            <v>Ex.</v>
          </cell>
        </row>
        <row r="483">
          <cell r="A483" t="str">
            <v>9018.32.99</v>
          </cell>
          <cell r="B483" t="str">
            <v>Los demás.</v>
          </cell>
          <cell r="C483" t="str">
            <v>Ex.</v>
          </cell>
          <cell r="D483" t="str">
            <v>Excepto: Para raquia, lavado de oídos y para ojos.</v>
          </cell>
          <cell r="E483" t="str">
            <v>Ex.Excepto: Para raquia, lavado de oídos y para ojos.</v>
          </cell>
        </row>
        <row r="484">
          <cell r="A484" t="str">
            <v>9025.11.99</v>
          </cell>
          <cell r="B484" t="str">
            <v>Los demás.</v>
          </cell>
          <cell r="C484" t="str">
            <v>Ex.</v>
          </cell>
          <cell r="E484" t="str">
            <v>Ex.</v>
          </cell>
        </row>
        <row r="485">
          <cell r="A485" t="str">
            <v>9025.19.99</v>
          </cell>
          <cell r="B485" t="str">
            <v>Los demás.</v>
          </cell>
          <cell r="C485" t="str">
            <v>Ex.</v>
          </cell>
          <cell r="E485" t="str">
            <v>Ex.</v>
          </cell>
        </row>
        <row r="486">
          <cell r="A486" t="str">
            <v>9025.80.01</v>
          </cell>
          <cell r="B486" t="str">
            <v>Aerómetros y densímetros.</v>
          </cell>
          <cell r="C486" t="str">
            <v>Ex.</v>
          </cell>
          <cell r="E486" t="str">
            <v>Ex.</v>
          </cell>
        </row>
        <row r="487">
          <cell r="A487" t="str">
            <v>9026.20.03</v>
          </cell>
          <cell r="B487" t="str">
            <v>Reguladores medidores de la presión de aire a inyectar en neumáticos de vehículos, incluso con distribuidores de agua.</v>
          </cell>
          <cell r="C487" t="str">
            <v>Ex.</v>
          </cell>
          <cell r="E487" t="str">
            <v>Ex.</v>
          </cell>
        </row>
        <row r="488">
          <cell r="A488" t="str">
            <v>9026.20.04</v>
          </cell>
          <cell r="B488" t="str">
            <v>Reguladores de presión, acoplados a válvulas o manómetros.</v>
          </cell>
          <cell r="C488" t="str">
            <v>Ex.</v>
          </cell>
          <cell r="E488" t="str">
            <v>Ex.</v>
          </cell>
        </row>
        <row r="489">
          <cell r="A489" t="str">
            <v>9028.20.03</v>
          </cell>
          <cell r="B489" t="str">
            <v>Contadores de agua, excepto los equipados con dispositivos que permitan su lectura remota (lectura electrónica).</v>
          </cell>
          <cell r="C489" t="str">
            <v>Ex.</v>
          </cell>
          <cell r="E489" t="str">
            <v>Ex.</v>
          </cell>
        </row>
        <row r="490">
          <cell r="A490" t="str">
            <v>9028.30.01</v>
          </cell>
          <cell r="B490" t="str">
            <v>Vatihorímetros.</v>
          </cell>
          <cell r="C490" t="str">
            <v>Ex.</v>
          </cell>
          <cell r="E490" t="str">
            <v>Ex.</v>
          </cell>
        </row>
        <row r="491">
          <cell r="A491" t="str">
            <v>9029.10.03</v>
          </cell>
          <cell r="B491" t="str">
            <v>Taxímetros electrónicos o electromecánicos.</v>
          </cell>
          <cell r="C491" t="str">
            <v>Ex.</v>
          </cell>
          <cell r="E491" t="str">
            <v>Ex.</v>
          </cell>
        </row>
        <row r="492">
          <cell r="A492" t="str">
            <v>9031.80.01</v>
          </cell>
          <cell r="B492" t="str">
            <v>Controles fotoeléctricos.</v>
          </cell>
          <cell r="C492" t="str">
            <v>Ex.</v>
          </cell>
          <cell r="E492" t="str">
            <v>Ex.</v>
          </cell>
        </row>
        <row r="493">
          <cell r="A493" t="str">
            <v>9031.80.07</v>
          </cell>
          <cell r="B493" t="str">
            <v>Niveles.</v>
          </cell>
          <cell r="C493" t="str">
            <v>Ex.</v>
          </cell>
          <cell r="E493" t="str">
            <v>Ex.</v>
          </cell>
        </row>
        <row r="494">
          <cell r="A494" t="str">
            <v>9032.10.03</v>
          </cell>
          <cell r="B494" t="str">
            <v>Automáticos para el control de la temperatura del agua, con dispositivos de seguridad para fallas de flama.</v>
          </cell>
          <cell r="C494" t="str">
            <v>Ex.</v>
          </cell>
          <cell r="E494" t="str">
            <v>Ex.</v>
          </cell>
        </row>
        <row r="495">
          <cell r="A495" t="str">
            <v>9032.10.99</v>
          </cell>
          <cell r="B495" t="str">
            <v>Los demás.</v>
          </cell>
          <cell r="C495" t="str">
            <v>Ex.</v>
          </cell>
          <cell r="E495" t="str">
            <v>Ex.</v>
          </cell>
        </row>
        <row r="496">
          <cell r="A496" t="str">
            <v>9032.20.01</v>
          </cell>
          <cell r="B496" t="str">
            <v>Manostatos (presostatos).</v>
          </cell>
          <cell r="C496" t="str">
            <v>Ex.</v>
          </cell>
          <cell r="E496" t="str">
            <v>Ex.</v>
          </cell>
        </row>
        <row r="497">
          <cell r="A497" t="str">
            <v>9032.89.02</v>
          </cell>
          <cell r="B497" t="str">
            <v>Reguladores automáticos de voltaje, excepto para uso industrial, incluso combinados, en una misma envolvente o carcasa, con una fuente de voltaje con conversión de corriente CA/CC/CA, de las también llamadas "no break" o "uninterruptible power supply" ("UPS").</v>
          </cell>
          <cell r="C497" t="str">
            <v>Ex.</v>
          </cell>
          <cell r="E497" t="str">
            <v>Ex.</v>
          </cell>
        </row>
        <row r="498">
          <cell r="A498" t="str">
            <v>9032.89.06</v>
          </cell>
          <cell r="B498" t="str">
            <v>Reguladores tipo inducción, excepto lo comprendido en la fracción arancelaria 9032.89.02.</v>
          </cell>
          <cell r="C498" t="str">
            <v>Ex.</v>
          </cell>
          <cell r="E498" t="str">
            <v>Ex.</v>
          </cell>
        </row>
        <row r="499">
          <cell r="A499" t="str">
            <v>9032.89.99</v>
          </cell>
          <cell r="B499" t="str">
            <v>Los demás.</v>
          </cell>
          <cell r="C499" t="str">
            <v>Ex.</v>
          </cell>
          <cell r="E499" t="str">
            <v>Ex.</v>
          </cell>
        </row>
        <row r="500">
          <cell r="A500" t="str">
            <v>9403.60.99</v>
          </cell>
          <cell r="B500" t="str">
            <v>Los demás.</v>
          </cell>
          <cell r="C500" t="str">
            <v>Ex.</v>
          </cell>
          <cell r="E500" t="str">
            <v>Ex.</v>
          </cell>
        </row>
        <row r="501">
          <cell r="A501" t="str">
            <v>9403.70.03</v>
          </cell>
          <cell r="B501" t="str">
            <v>Muebles de plástico.</v>
          </cell>
          <cell r="C501" t="str">
            <v>Ex.</v>
          </cell>
          <cell r="D501" t="str">
            <v>Excepto: Atriles y llamados “estaciones de trabajo”, reconocibles como diseñados para alojar un sistema de cómputo personal, conteniendo por lo menos: una cubierta para monitor, una cubierta para teclado y una cubierta para la unidad central de proceso.</v>
          </cell>
          <cell r="E501" t="str">
            <v>Ex.Excepto: Atriles y llamados “estaciones de trabajo”, reconocibles como diseñados para alojar un sistema de cómputo personal, conteniendo por lo menos: una cubierta para monitor, una cubierta para teclado y una cubierta para la unidad central de proceso.</v>
          </cell>
        </row>
        <row r="502">
          <cell r="A502" t="str">
            <v>9603.90.99</v>
          </cell>
          <cell r="B502" t="str">
            <v>Los demás.</v>
          </cell>
          <cell r="C502" t="str">
            <v>Ex.</v>
          </cell>
          <cell r="E502" t="str">
            <v>Ex.</v>
          </cell>
        </row>
      </sheetData>
      <sheetData sheetId="5">
        <row r="1">
          <cell r="A1" t="str">
            <v>CÓDIGO</v>
          </cell>
          <cell r="B1" t="str">
            <v>DESCRIPCIÓN</v>
          </cell>
          <cell r="C1" t="str">
            <v>ARANCEL</v>
          </cell>
          <cell r="D1" t="str">
            <v>ACOTACIÓN</v>
          </cell>
          <cell r="E1" t="str">
            <v>FA/ACO</v>
          </cell>
        </row>
        <row r="2">
          <cell r="C2" t="str">
            <v>(%)</v>
          </cell>
        </row>
        <row r="3">
          <cell r="A3" t="str">
            <v>3915.20.01</v>
          </cell>
          <cell r="B3" t="str">
            <v>De polímeros de estireno.</v>
          </cell>
          <cell r="C3" t="str">
            <v>Ex.</v>
          </cell>
          <cell r="E3" t="str">
            <v xml:space="preserve">Ex. </v>
          </cell>
        </row>
        <row r="4">
          <cell r="A4" t="str">
            <v>4415.20.02</v>
          </cell>
          <cell r="B4" t="str">
            <v>Paletas, paletas caja y demás plataformas para carga; collarines para paletas.</v>
          </cell>
          <cell r="C4" t="str">
            <v>Ex.</v>
          </cell>
          <cell r="D4" t="str">
            <v>Excepto: Collarines para paletas.</v>
          </cell>
          <cell r="E4" t="str">
            <v>Ex. Excepto: Collarines para paletas.</v>
          </cell>
        </row>
        <row r="5">
          <cell r="A5" t="str">
            <v>7006.00.04</v>
          </cell>
          <cell r="B5" t="str">
            <v>Vidrio de las partidas 70.03, 70.04 o 70.05, curvado, biselado, grabado, taladrado, esmaltado o trabajado de otro modo, pero sin enmarcar ni combinar con otras materias.</v>
          </cell>
          <cell r="C5" t="str">
            <v>Ex.</v>
          </cell>
          <cell r="D5" t="str">
            <v>Excepto: Estriado, ondulado y estampado; flotado claro; flotado, coloreados en la masa.</v>
          </cell>
          <cell r="E5" t="str">
            <v>Ex. Excepto: Estriado, ondulado y estampado; flotado claro; flotado, coloreados en la masa.</v>
          </cell>
        </row>
        <row r="6">
          <cell r="A6" t="str">
            <v>7010.90.99</v>
          </cell>
          <cell r="B6" t="str">
            <v>Los demás.</v>
          </cell>
          <cell r="C6" t="str">
            <v>Ex.</v>
          </cell>
          <cell r="D6" t="str">
            <v>Únicamente: De capacidad inferior a 0.15 l.</v>
          </cell>
          <cell r="E6" t="str">
            <v>Ex. Únicamente: De capacidad inferior a 0.15 l.</v>
          </cell>
        </row>
        <row r="7">
          <cell r="A7" t="str">
            <v>7013.49.99</v>
          </cell>
          <cell r="B7" t="str">
            <v>Los demás.</v>
          </cell>
          <cell r="C7" t="str">
            <v>Ex.</v>
          </cell>
          <cell r="D7" t="str">
            <v>Únicamente: Jarras de borosilicato</v>
          </cell>
          <cell r="E7" t="str">
            <v>Ex. Únicamente: Jarras de borosilicato</v>
          </cell>
        </row>
        <row r="8">
          <cell r="A8" t="str">
            <v>7225.19.99</v>
          </cell>
          <cell r="B8" t="str">
            <v>Los demás.</v>
          </cell>
          <cell r="C8" t="str">
            <v>Ex.</v>
          </cell>
          <cell r="E8" t="str">
            <v xml:space="preserve">Ex. </v>
          </cell>
        </row>
        <row r="9">
          <cell r="A9" t="str">
            <v>8414.30.01</v>
          </cell>
          <cell r="B9" t="str">
            <v>Motocompresores, excepto lo comprendido en las fracciones arancelarias 8414.30.04, 8414.30.07, 8414.30.08 y 8414.30.10.</v>
          </cell>
          <cell r="C9" t="str">
            <v>Ex.</v>
          </cell>
          <cell r="D9" t="str">
            <v>Únicamente: Motocompresores herméticos con potencia superior a 1/28 CP.</v>
          </cell>
          <cell r="E9" t="str">
            <v>Ex. Únicamente: Motocompresores herméticos con potencia superior a 1/28 CP.</v>
          </cell>
        </row>
        <row r="10">
          <cell r="A10" t="str">
            <v>8414.30.10</v>
          </cell>
          <cell r="B10" t="str">
            <v>Motocompresores herméticos con potencia inferior a 1 CP, de un mínimo de 4.9 de eficiencia energética  (BTU/Wh) y capacidad máxima de 750 BTU/h.</v>
          </cell>
          <cell r="C10" t="str">
            <v>Ex.</v>
          </cell>
          <cell r="E10" t="str">
            <v xml:space="preserve">Ex. </v>
          </cell>
        </row>
        <row r="11">
          <cell r="A11" t="str">
            <v>8416.20.99</v>
          </cell>
          <cell r="B11" t="str">
            <v>Las demás.</v>
          </cell>
          <cell r="C11" t="str">
            <v>Ex.</v>
          </cell>
          <cell r="E11" t="str">
            <v xml:space="preserve">Ex. </v>
          </cell>
        </row>
        <row r="12">
          <cell r="A12" t="str">
            <v>8481.30.01</v>
          </cell>
          <cell r="B12" t="str">
            <v>Válvulas de retención, que operen automáticamente, excepto trampas de vapor; y las reconocibles como diseñadas exclusivamente para el funcionamiento de máquinas, aparatos o artefactos mecánicos para sistemas hidráulicos de aceite en circuitos cerrados.</v>
          </cell>
          <cell r="C12" t="str">
            <v>Ex.</v>
          </cell>
          <cell r="E12" t="str">
            <v xml:space="preserve">Ex. </v>
          </cell>
        </row>
        <row r="13">
          <cell r="A13" t="str">
            <v>8481.40.04</v>
          </cell>
          <cell r="B13" t="str">
            <v>De seguridad, y contra escape de gas, de uso doméstico, excepto automáticas o semiautomáticas, reconocibles como diseñadas exclusivamente para calentadores no eléctricos.</v>
          </cell>
          <cell r="C13" t="str">
            <v>Ex.</v>
          </cell>
          <cell r="E13" t="str">
            <v xml:space="preserve">Ex. </v>
          </cell>
        </row>
        <row r="14">
          <cell r="A14" t="str">
            <v>9405.91.99</v>
          </cell>
          <cell r="B14" t="str">
            <v>Las demás.</v>
          </cell>
          <cell r="C14" t="str">
            <v>Ex.</v>
          </cell>
          <cell r="E14" t="str">
            <v xml:space="preserve">Ex. </v>
          </cell>
        </row>
        <row r="15">
          <cell r="A15" t="str">
            <v>9405.92.01</v>
          </cell>
          <cell r="B15" t="str">
            <v>De plástico.</v>
          </cell>
          <cell r="C15" t="str">
            <v>Ex.</v>
          </cell>
          <cell r="E15" t="str">
            <v xml:space="preserve">Ex. </v>
          </cell>
        </row>
        <row r="16">
          <cell r="A16" t="str">
            <v>9405.99.99</v>
          </cell>
          <cell r="B16" t="str">
            <v>Las demás.</v>
          </cell>
          <cell r="C16" t="str">
            <v>Ex.</v>
          </cell>
          <cell r="E16" t="str">
            <v xml:space="preserve">Ex. </v>
          </cell>
        </row>
        <row r="17">
          <cell r="A17" t="str">
            <v>9607.11.01</v>
          </cell>
          <cell r="B17" t="str">
            <v>Con dientes de metal común.</v>
          </cell>
          <cell r="C17" t="str">
            <v>Ex.</v>
          </cell>
          <cell r="E17" t="str">
            <v xml:space="preserve">Ex. </v>
          </cell>
        </row>
      </sheetData>
      <sheetData sheetId="6">
        <row r="1">
          <cell r="A1" t="str">
            <v>CÓDIGO</v>
          </cell>
          <cell r="B1" t="str">
            <v>DESCRIPCIÓN</v>
          </cell>
          <cell r="C1" t="str">
            <v>ARANCEL</v>
          </cell>
          <cell r="D1" t="str">
            <v>ACOTACIÓN</v>
          </cell>
          <cell r="E1" t="str">
            <v>EX/ACO</v>
          </cell>
        </row>
        <row r="2">
          <cell r="C2" t="str">
            <v>(%)</v>
          </cell>
        </row>
        <row r="3">
          <cell r="A3" t="str">
            <v>2515.12.99</v>
          </cell>
          <cell r="B3" t="str">
            <v>Los demás.</v>
          </cell>
          <cell r="C3" t="str">
            <v>Ex.</v>
          </cell>
          <cell r="E3" t="str">
            <v xml:space="preserve">Ex. </v>
          </cell>
        </row>
        <row r="4">
          <cell r="A4" t="str">
            <v>3814.00.01</v>
          </cell>
          <cell r="B4" t="str">
            <v>Disolventes y diluyentes orgánicos compuestos, no expresados ni comprendidos en otra parte; preparaciones para quitar pinturas o barnices.</v>
          </cell>
          <cell r="C4" t="str">
            <v>Ex.</v>
          </cell>
          <cell r="E4" t="str">
            <v xml:space="preserve">Ex. </v>
          </cell>
        </row>
        <row r="5">
          <cell r="A5" t="str">
            <v>3907.30.02</v>
          </cell>
          <cell r="B5" t="str">
            <v>Resinas epóxidas tipo etoxilinas cicloalifaticas o novolacas.</v>
          </cell>
          <cell r="C5" t="str">
            <v>Ex.</v>
          </cell>
          <cell r="E5" t="str">
            <v xml:space="preserve">Ex. </v>
          </cell>
        </row>
        <row r="6">
          <cell r="A6" t="str">
            <v>3907.30.99</v>
          </cell>
          <cell r="B6" t="str">
            <v>Los demás.</v>
          </cell>
          <cell r="C6" t="str">
            <v>Ex.</v>
          </cell>
          <cell r="D6" t="str">
            <v>Excepto: Resinas epóxidas.</v>
          </cell>
          <cell r="E6" t="str">
            <v>Ex. Excepto: Resinas epóxidas.</v>
          </cell>
        </row>
        <row r="7">
          <cell r="A7" t="str">
            <v>3907.91.99</v>
          </cell>
          <cell r="B7" t="str">
            <v>Los demás.</v>
          </cell>
          <cell r="C7" t="str">
            <v>Ex.</v>
          </cell>
          <cell r="E7" t="str">
            <v xml:space="preserve">Ex. </v>
          </cell>
        </row>
        <row r="8">
          <cell r="A8" t="str">
            <v>3908.10.05</v>
          </cell>
          <cell r="B8" t="str">
            <v>Poliamidas o superpoliamidas, excepto lo comprendido en las fracciones arancelarias 3908.10.01 a la 3908.10.04, 3908.10.06, 3908.10.07 y 3908.10.08.</v>
          </cell>
          <cell r="C8" t="str">
            <v>Ex.</v>
          </cell>
          <cell r="E8" t="str">
            <v xml:space="preserve">Ex. </v>
          </cell>
        </row>
        <row r="9">
          <cell r="A9" t="str">
            <v>3910.00.99</v>
          </cell>
          <cell r="B9" t="str">
            <v>Los demás.</v>
          </cell>
          <cell r="C9" t="str">
            <v>Ex.</v>
          </cell>
          <cell r="E9" t="str">
            <v xml:space="preserve">Ex. </v>
          </cell>
        </row>
        <row r="10">
          <cell r="A10" t="str">
            <v>3914.00.01</v>
          </cell>
          <cell r="B10" t="str">
            <v>Intercambiadores de iones, del tipo catiónico.</v>
          </cell>
          <cell r="C10" t="str">
            <v>Ex.</v>
          </cell>
          <cell r="E10" t="str">
            <v xml:space="preserve">Ex. </v>
          </cell>
        </row>
        <row r="11">
          <cell r="A11" t="str">
            <v>3915.90.99</v>
          </cell>
          <cell r="B11" t="str">
            <v>Los demás.</v>
          </cell>
          <cell r="C11" t="str">
            <v>Ex.</v>
          </cell>
          <cell r="D11" t="str">
            <v>Excepto: Desechos, desperdicios y recortes de poli (tereftalato de etileno) (PET).</v>
          </cell>
          <cell r="E11" t="str">
            <v>Ex. Excepto: Desechos, desperdicios y recortes de poli (tereftalato de etileno) (PET).</v>
          </cell>
        </row>
        <row r="12">
          <cell r="A12" t="str">
            <v>3917.33.99</v>
          </cell>
          <cell r="B12" t="str">
            <v>Los demás.</v>
          </cell>
          <cell r="C12" t="str">
            <v>Ex.</v>
          </cell>
          <cell r="E12" t="str">
            <v xml:space="preserve">Ex. </v>
          </cell>
        </row>
        <row r="13">
          <cell r="A13" t="str">
            <v>3921.11.01</v>
          </cell>
          <cell r="B13" t="str">
            <v>De polímeros de estireno.</v>
          </cell>
          <cell r="C13" t="str">
            <v>Ex.</v>
          </cell>
          <cell r="E13" t="str">
            <v xml:space="preserve">Ex. </v>
          </cell>
        </row>
        <row r="14">
          <cell r="A14" t="str">
            <v>3923.10.03</v>
          </cell>
          <cell r="B14" t="str">
            <v>Cajas, cajones, jaulas y artículos similares.</v>
          </cell>
          <cell r="C14" t="str">
            <v>Ex.</v>
          </cell>
          <cell r="D14" t="str">
            <v>Excepto: A base de poliestireno expandible.</v>
          </cell>
          <cell r="E14" t="str">
            <v>Ex. Excepto: A base de poliestireno expandible.</v>
          </cell>
        </row>
        <row r="15">
          <cell r="A15" t="str">
            <v>3923.30.02</v>
          </cell>
          <cell r="B15" t="str">
            <v>Bombonas (damajuanas), botellas, frascos y artículos similares.</v>
          </cell>
          <cell r="C15" t="str">
            <v>Ex.</v>
          </cell>
          <cell r="D15" t="str">
            <v>Excepto: Tanques o recipientes con capacidad  superior o igual a 3.5 l.</v>
          </cell>
          <cell r="E15" t="str">
            <v>Ex. Excepto: Tanques o recipientes con capacidad  superior o igual a 3.5 l.</v>
          </cell>
        </row>
        <row r="16">
          <cell r="A16" t="str">
            <v>3926.10.01</v>
          </cell>
          <cell r="B16" t="str">
            <v>Artículos de oficina y artículos escolares.</v>
          </cell>
          <cell r="C16" t="str">
            <v>Ex.</v>
          </cell>
          <cell r="E16" t="str">
            <v xml:space="preserve">Ex. </v>
          </cell>
        </row>
        <row r="17">
          <cell r="A17" t="str">
            <v>3926.30.02</v>
          </cell>
          <cell r="B17" t="str">
            <v>Guarniciones para muebles, carrocerías o similares.</v>
          </cell>
          <cell r="C17" t="str">
            <v>Ex.</v>
          </cell>
          <cell r="D17" t="str">
            <v>Excepto: Molduras para carrocerías.</v>
          </cell>
          <cell r="E17" t="str">
            <v>Ex. Excepto: Molduras para carrocerías.</v>
          </cell>
        </row>
        <row r="18">
          <cell r="A18" t="str">
            <v>3926.90.01</v>
          </cell>
          <cell r="B18" t="str">
            <v>Mangos para herramientas de mano.</v>
          </cell>
          <cell r="C18" t="str">
            <v>Ex.</v>
          </cell>
          <cell r="E18" t="str">
            <v xml:space="preserve">Ex. </v>
          </cell>
        </row>
        <row r="19">
          <cell r="A19" t="str">
            <v>3926.90.07</v>
          </cell>
          <cell r="B19" t="str">
            <v>Modelos o patrones.</v>
          </cell>
          <cell r="C19" t="str">
            <v>Ex.</v>
          </cell>
          <cell r="E19" t="str">
            <v xml:space="preserve">Ex. </v>
          </cell>
        </row>
        <row r="20">
          <cell r="A20" t="str">
            <v>3926.90.11</v>
          </cell>
          <cell r="B20" t="str">
            <v>Protectores para el sentido auditivo.</v>
          </cell>
          <cell r="C20" t="str">
            <v>Ex.</v>
          </cell>
          <cell r="E20" t="str">
            <v xml:space="preserve">Ex. </v>
          </cell>
        </row>
        <row r="21">
          <cell r="A21" t="str">
            <v>3926.90.13</v>
          </cell>
          <cell r="B21" t="str">
            <v>Letras, números o signos.</v>
          </cell>
          <cell r="C21" t="str">
            <v>Ex.</v>
          </cell>
          <cell r="E21" t="str">
            <v xml:space="preserve">Ex. </v>
          </cell>
        </row>
        <row r="22">
          <cell r="A22" t="str">
            <v>3926.90.14</v>
          </cell>
          <cell r="B22" t="str">
            <v>Cinchos fijadores o abrazaderas, excepto lo reconocible como diseñados exclusivamente para uso automotriz.</v>
          </cell>
          <cell r="C22" t="str">
            <v>Ex.</v>
          </cell>
          <cell r="E22" t="str">
            <v xml:space="preserve">Ex. </v>
          </cell>
        </row>
        <row r="23">
          <cell r="A23" t="str">
            <v>3926.90.24</v>
          </cell>
          <cell r="B23" t="str">
            <v>Diablos o tacos (pigs) de poliuretanos con diámetro hasta de 122 cm, para la limpieza interior de tuberías, aun cuando estén recubiertos con banda de caucho, con incrustaciones de carburo de tungsteno o cerdas de acero.</v>
          </cell>
          <cell r="C23" t="str">
            <v>Ex.</v>
          </cell>
          <cell r="E23" t="str">
            <v xml:space="preserve">Ex. </v>
          </cell>
        </row>
        <row r="24">
          <cell r="A24" t="str">
            <v>3926.90.27</v>
          </cell>
          <cell r="B24" t="str">
            <v>Láminas perforadas o troqueladas de poli(etileno) y/o poli(propileno), aun cuando estén coloreadas, metalizadas o laqueadas.</v>
          </cell>
          <cell r="C24" t="str">
            <v>Ex.</v>
          </cell>
          <cell r="E24" t="str">
            <v xml:space="preserve">Ex. </v>
          </cell>
        </row>
        <row r="25">
          <cell r="A25" t="str">
            <v>4006.90.99</v>
          </cell>
          <cell r="B25" t="str">
            <v>Los demás.</v>
          </cell>
          <cell r="C25" t="str">
            <v>Ex.</v>
          </cell>
          <cell r="E25" t="str">
            <v xml:space="preserve">Ex. </v>
          </cell>
        </row>
        <row r="26">
          <cell r="A26" t="str">
            <v>4015.19.99</v>
          </cell>
          <cell r="B26" t="str">
            <v>Los demás.</v>
          </cell>
          <cell r="C26" t="str">
            <v>Ex.</v>
          </cell>
          <cell r="E26" t="str">
            <v xml:space="preserve">Ex. </v>
          </cell>
        </row>
        <row r="27">
          <cell r="A27" t="str">
            <v>4016.91.01</v>
          </cell>
          <cell r="B27" t="str">
            <v>Revestimientos para el suelo y alfombras.</v>
          </cell>
          <cell r="C27" t="str">
            <v>Ex.</v>
          </cell>
          <cell r="E27" t="str">
            <v xml:space="preserve">Ex. </v>
          </cell>
        </row>
        <row r="28">
          <cell r="A28" t="str">
            <v>4016.99.01</v>
          </cell>
          <cell r="B28" t="str">
            <v>Arandelas, válvulas u otras piezas de uso técnico, excepto artículos reconocibles como diseñados exclusivamente para ser utilizados en el moldeo de neumáticos nuevos ("Bladers").</v>
          </cell>
          <cell r="C28" t="str">
            <v>Ex.</v>
          </cell>
          <cell r="E28" t="str">
            <v xml:space="preserve">Ex. </v>
          </cell>
        </row>
        <row r="29">
          <cell r="A29" t="str">
            <v>4016.99.04</v>
          </cell>
          <cell r="B29" t="str">
            <v>Dedales.</v>
          </cell>
          <cell r="C29" t="str">
            <v>Ex.</v>
          </cell>
          <cell r="E29" t="str">
            <v xml:space="preserve">Ex. </v>
          </cell>
        </row>
        <row r="30">
          <cell r="A30" t="str">
            <v>4203.29.99</v>
          </cell>
          <cell r="B30" t="str">
            <v>Los demás.</v>
          </cell>
          <cell r="C30" t="str">
            <v>Ex.</v>
          </cell>
          <cell r="E30" t="str">
            <v xml:space="preserve">Ex. </v>
          </cell>
        </row>
        <row r="31">
          <cell r="A31" t="str">
            <v>4205.00.99</v>
          </cell>
          <cell r="B31" t="str">
            <v>Las demás.</v>
          </cell>
          <cell r="C31" t="str">
            <v>Ex.</v>
          </cell>
          <cell r="D31" t="str">
            <v>Excepto: Partes cortadas en forma, reconocibles como diseñadas exclusivamente para cinturones portaherramientas.</v>
          </cell>
          <cell r="E31" t="str">
            <v>Ex. Excepto: Partes cortadas en forma, reconocibles como diseñadas exclusivamente para cinturones portaherramientas.</v>
          </cell>
        </row>
        <row r="32">
          <cell r="A32" t="str">
            <v>4407.11.99</v>
          </cell>
          <cell r="B32" t="str">
            <v>Las demás.</v>
          </cell>
          <cell r="C32" t="str">
            <v>Ex.</v>
          </cell>
          <cell r="E32" t="str">
            <v xml:space="preserve">Ex. </v>
          </cell>
        </row>
        <row r="33">
          <cell r="A33" t="str">
            <v>4407.12.99</v>
          </cell>
          <cell r="B33" t="str">
            <v>Las demás.</v>
          </cell>
          <cell r="C33" t="str">
            <v>Ex.</v>
          </cell>
          <cell r="E33" t="str">
            <v xml:space="preserve">Ex. </v>
          </cell>
        </row>
        <row r="34">
          <cell r="A34" t="str">
            <v>4407.13.01</v>
          </cell>
          <cell r="B34" t="str">
            <v>De P-P-A (“S-P-F”) (pícea (Picea spp.), pino (Pinus spp.) y abeto (Abies spp.)).</v>
          </cell>
          <cell r="C34" t="str">
            <v>Ex.</v>
          </cell>
          <cell r="E34" t="str">
            <v xml:space="preserve">Ex. </v>
          </cell>
        </row>
        <row r="35">
          <cell r="A35" t="str">
            <v>4407.14.01</v>
          </cell>
          <cell r="B35" t="str">
            <v>De “Hem-fir” (tsuga-abeto) (hemlock occidental (tsuga del pacífico) (Tsuga heterophylla) y abeto (Abies spp.)).</v>
          </cell>
          <cell r="C35" t="str">
            <v>Ex.</v>
          </cell>
          <cell r="E35" t="str">
            <v xml:space="preserve">Ex. </v>
          </cell>
        </row>
        <row r="36">
          <cell r="A36" t="str">
            <v>4407.19.99</v>
          </cell>
          <cell r="B36" t="str">
            <v>Las demás.</v>
          </cell>
          <cell r="C36" t="str">
            <v>Ex.</v>
          </cell>
          <cell r="E36" t="str">
            <v xml:space="preserve">Ex. </v>
          </cell>
        </row>
        <row r="37">
          <cell r="A37" t="str">
            <v>4409.10.99</v>
          </cell>
          <cell r="B37" t="str">
            <v>Los demás.</v>
          </cell>
          <cell r="C37" t="str">
            <v>Ex.</v>
          </cell>
          <cell r="E37" t="str">
            <v xml:space="preserve">Ex. </v>
          </cell>
        </row>
        <row r="38">
          <cell r="A38" t="str">
            <v>4409.21.03</v>
          </cell>
          <cell r="B38" t="str">
            <v>De bambú.</v>
          </cell>
          <cell r="C38" t="str">
            <v>Ex.</v>
          </cell>
          <cell r="D38" t="str">
            <v>Únicamente: Listones y molduras para muebles, marcos, decorados interiores, conducciones eléctricas y análogos.</v>
          </cell>
          <cell r="E38" t="str">
            <v>Ex. Únicamente: Listones y molduras para muebles, marcos, decorados interiores, conducciones eléctricas y análogos.</v>
          </cell>
        </row>
        <row r="39">
          <cell r="A39" t="str">
            <v>4409.22.01</v>
          </cell>
          <cell r="B39" t="str">
            <v>De maderas tropicales.</v>
          </cell>
          <cell r="C39" t="str">
            <v>Ex.</v>
          </cell>
          <cell r="E39" t="str">
            <v xml:space="preserve">Ex. </v>
          </cell>
        </row>
        <row r="40">
          <cell r="A40" t="str">
            <v>4409.29.99</v>
          </cell>
          <cell r="B40" t="str">
            <v>Los demás.</v>
          </cell>
          <cell r="C40" t="str">
            <v>Ex.</v>
          </cell>
          <cell r="D40" t="str">
            <v>Excepto: De Swietenia macrophylla, cedrella odorata o Cedrella mexicana, cepilladas.</v>
          </cell>
          <cell r="E40" t="str">
            <v>Ex. Excepto: De Swietenia macrophylla, cedrella odorata o Cedrella mexicana, cepilladas.</v>
          </cell>
        </row>
        <row r="41">
          <cell r="A41" t="str">
            <v>4412.31.01</v>
          </cell>
          <cell r="B41" t="str">
            <v>Que tengan, por lo menos, una hoja externa de las maderas tropicales siguientes: Dark Red Meranti, Light Red Meranti, White Lauan, Sipo, Limba, Okumé, Obeché, Acajou d'Afrique, Sapelli, Mahogany, Palisandre de Para, Palisandre de Río y Palisandre de Rose.</v>
          </cell>
          <cell r="C41">
            <v>10</v>
          </cell>
          <cell r="E41" t="str">
            <v xml:space="preserve">10 </v>
          </cell>
        </row>
        <row r="42">
          <cell r="A42" t="str">
            <v>4412.31.99</v>
          </cell>
          <cell r="B42" t="str">
            <v>Las demás.</v>
          </cell>
          <cell r="C42">
            <v>5</v>
          </cell>
          <cell r="E42" t="str">
            <v xml:space="preserve">5 </v>
          </cell>
        </row>
        <row r="43">
          <cell r="A43" t="str">
            <v>4412.33.91</v>
          </cell>
          <cell r="B43" t="str">
            <v>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v>
          </cell>
          <cell r="C43">
            <v>5</v>
          </cell>
          <cell r="D43" t="str">
            <v xml:space="preserve"> </v>
          </cell>
          <cell r="E43" t="str">
            <v xml:space="preserve">5  </v>
          </cell>
        </row>
        <row r="44">
          <cell r="A44" t="str">
            <v>4412.34.91</v>
          </cell>
          <cell r="B44" t="str">
            <v>Las demás, que tengan, por lo menos, una hoja externa de madera distinta de la de coníferas, no especificadas en la subpartida 4412.33.</v>
          </cell>
          <cell r="C44">
            <v>5</v>
          </cell>
          <cell r="E44" t="str">
            <v xml:space="preserve">5 </v>
          </cell>
        </row>
        <row r="45">
          <cell r="A45" t="str">
            <v>4412.39.91</v>
          </cell>
          <cell r="B45" t="str">
            <v>Las demás, con las dos hojas externas de madera de coníferas.</v>
          </cell>
          <cell r="C45">
            <v>5</v>
          </cell>
          <cell r="E45" t="str">
            <v xml:space="preserve">5 </v>
          </cell>
        </row>
        <row r="46">
          <cell r="A46" t="str">
            <v>4412.41.01</v>
          </cell>
          <cell r="B46" t="str">
            <v>Que tenga, por lo menos, una hoja externa de maderas tropicales.</v>
          </cell>
          <cell r="C46">
            <v>5</v>
          </cell>
          <cell r="D46" t="str">
            <v>Únicamente: 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 tablero de partículas.</v>
          </cell>
          <cell r="E46" t="str">
            <v>5 Únicamente: 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 tablero de partículas.</v>
          </cell>
        </row>
        <row r="47">
          <cell r="A47" t="str">
            <v>4412.41.01</v>
          </cell>
          <cell r="B47" t="str">
            <v>Que tenga, por lo menos, una hoja externa de maderas tropicales.</v>
          </cell>
          <cell r="C47">
            <v>10</v>
          </cell>
          <cell r="D47" t="str">
            <v>Excepto: 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 tablero de partículas.</v>
          </cell>
          <cell r="E47" t="str">
            <v>10 Excepto: 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 tablero de partículas.</v>
          </cell>
        </row>
        <row r="48">
          <cell r="A48" t="str">
            <v>4412.42.91</v>
          </cell>
          <cell r="B48" t="str">
            <v>Las demás, que tengan, por lo menos, una hoja externa de madera distinta de la de coníferas.</v>
          </cell>
          <cell r="C48">
            <v>5</v>
          </cell>
          <cell r="D48" t="str">
            <v>Únicamente: Que tengan, por lo menos, un tablero de partículas.</v>
          </cell>
          <cell r="E48" t="str">
            <v>5 Únicamente: Que tengan, por lo menos, un tablero de partículas.</v>
          </cell>
        </row>
        <row r="49">
          <cell r="A49" t="str">
            <v>4412.42.91</v>
          </cell>
          <cell r="B49" t="str">
            <v>Las demás, que tengan, por lo menos, una hoja externa de madera distinta de la de coníferas.</v>
          </cell>
          <cell r="C49">
            <v>10</v>
          </cell>
          <cell r="D49" t="str">
            <v>Excepto: Que tengan, por lo menos, un tablero de partículas.</v>
          </cell>
          <cell r="E49" t="str">
            <v>10 Excepto: Que tengan, por lo menos, un tablero de partículas.</v>
          </cell>
        </row>
        <row r="50">
          <cell r="A50" t="str">
            <v>4412.49.91</v>
          </cell>
          <cell r="B50" t="str">
            <v>Las demás, con las dos hojas externas de madera de coníferas.</v>
          </cell>
          <cell r="C50">
            <v>5</v>
          </cell>
          <cell r="D50" t="str">
            <v>Únicamente: Que tengan, por lo menos, un tablero de partículas.</v>
          </cell>
          <cell r="E50" t="str">
            <v>5 Únicamente: Que tengan, por lo menos, un tablero de partículas.</v>
          </cell>
        </row>
        <row r="51">
          <cell r="A51" t="str">
            <v>4412.49.91</v>
          </cell>
          <cell r="B51" t="str">
            <v>Las demás, con las dos hojas externas de madera de coníferas.</v>
          </cell>
          <cell r="C51">
            <v>10</v>
          </cell>
          <cell r="D51" t="str">
            <v>Excepto: Que tengan, por lo menos, un tablero de partículas.</v>
          </cell>
          <cell r="E51" t="str">
            <v>10 Excepto: Que tengan, por lo menos, un tablero de partículas.</v>
          </cell>
        </row>
        <row r="52">
          <cell r="A52" t="str">
            <v>4412.51.01</v>
          </cell>
          <cell r="B52" t="str">
            <v>Que tengan, por lo menos, una hoja externa de maderas tropicales.</v>
          </cell>
          <cell r="C52">
            <v>5</v>
          </cell>
          <cell r="D52" t="str">
            <v>Únicamente: Que tengan, por lo menos, un tablero de partículas.</v>
          </cell>
          <cell r="E52" t="str">
            <v>5 Únicamente: Que tengan, por lo menos, un tablero de partículas.</v>
          </cell>
        </row>
        <row r="53">
          <cell r="A53" t="str">
            <v>4412.51.01</v>
          </cell>
          <cell r="B53" t="str">
            <v>Que tengan, por lo menos, una hoja externa de maderas tropicales.</v>
          </cell>
          <cell r="C53">
            <v>10</v>
          </cell>
          <cell r="D53" t="str">
            <v>Excepto: Que tengan, por lo menos, un tablero de partículas.</v>
          </cell>
          <cell r="E53" t="str">
            <v>10 Excepto: Que tengan, por lo menos, un tablero de partículas.</v>
          </cell>
        </row>
        <row r="54">
          <cell r="A54" t="str">
            <v>4412.52.91</v>
          </cell>
          <cell r="B54" t="str">
            <v>Los demás, que tengan, por lo menos, una hoja externa de madera distinta de la de coníferas.</v>
          </cell>
          <cell r="C54">
            <v>5</v>
          </cell>
          <cell r="D54" t="str">
            <v>Únicamente: Que tengan, por lo menos, un tablero de partículas.</v>
          </cell>
          <cell r="E54" t="str">
            <v>5 Únicamente: Que tengan, por lo menos, un tablero de partículas.</v>
          </cell>
        </row>
        <row r="55">
          <cell r="A55" t="str">
            <v>4412.52.91</v>
          </cell>
          <cell r="B55" t="str">
            <v>Los demás, que tengan, por lo menos, una hoja externa de madera distinta de la de coníferas.</v>
          </cell>
          <cell r="C55">
            <v>10</v>
          </cell>
          <cell r="D55" t="str">
            <v>Excepto: Que tengan, por lo menos, un tablero de partículas.</v>
          </cell>
          <cell r="E55" t="str">
            <v>10 Excepto: Que tengan, por lo menos, un tablero de partículas.</v>
          </cell>
        </row>
        <row r="56">
          <cell r="A56" t="str">
            <v>4412.59.91</v>
          </cell>
          <cell r="B56" t="str">
            <v>Los demás, con las dos hojas externas de madera de coníferas.</v>
          </cell>
          <cell r="C56">
            <v>5</v>
          </cell>
          <cell r="D56" t="str">
            <v>Únicamente: Que tengan, por lo menos, un tablero de partículas.</v>
          </cell>
          <cell r="E56" t="str">
            <v>5 Únicamente: Que tengan, por lo menos, un tablero de partículas.</v>
          </cell>
        </row>
        <row r="57">
          <cell r="A57" t="str">
            <v>4412.59.91</v>
          </cell>
          <cell r="B57" t="str">
            <v>Los demás, con las dos hojas externas de madera de coníferas.</v>
          </cell>
          <cell r="C57">
            <v>10</v>
          </cell>
          <cell r="D57" t="str">
            <v>Excepto: Que tengan, por lo menos, un tablero de partículas.</v>
          </cell>
          <cell r="E57" t="str">
            <v>10 Excepto: Que tengan, por lo menos, un tablero de partículas.</v>
          </cell>
        </row>
        <row r="58">
          <cell r="A58" t="str">
            <v>4412.91.01</v>
          </cell>
          <cell r="B58" t="str">
            <v>Que tengan, por lo menos, una hoja externa de maderas tropicales.</v>
          </cell>
          <cell r="C58">
            <v>5</v>
          </cell>
          <cell r="D58" t="str">
            <v>Únicamente: Que tengan, por lo menos, un tablero de partículas.</v>
          </cell>
          <cell r="E58" t="str">
            <v>5 Únicamente: Que tengan, por lo menos, un tablero de partículas.</v>
          </cell>
        </row>
        <row r="59">
          <cell r="A59" t="str">
            <v>4412.91.01</v>
          </cell>
          <cell r="B59" t="str">
            <v>Que tengan, por lo menos, una hoja externa de maderas tropicales.</v>
          </cell>
          <cell r="C59">
            <v>10</v>
          </cell>
          <cell r="D59" t="str">
            <v>Excepto: Que tengan, por lo menos, un tablero de partículas.</v>
          </cell>
          <cell r="E59" t="str">
            <v>10 Excepto: Que tengan, por lo menos, un tablero de partículas.</v>
          </cell>
        </row>
        <row r="60">
          <cell r="A60" t="str">
            <v>4412.92.91</v>
          </cell>
          <cell r="B60" t="str">
            <v>Las demás, que tengan, por lo menos, una hoja externa de madera distinta de la de coníferas.</v>
          </cell>
          <cell r="C60">
            <v>5</v>
          </cell>
          <cell r="D60" t="str">
            <v>Únicamente: Que tengan, por lo menos, un tablero de partículas.</v>
          </cell>
          <cell r="E60" t="str">
            <v>5 Únicamente: Que tengan, por lo menos, un tablero de partículas.</v>
          </cell>
        </row>
        <row r="61">
          <cell r="A61" t="str">
            <v>4412.92.91</v>
          </cell>
          <cell r="B61" t="str">
            <v>Las demás, que tengan, por lo menos, una hoja externa de madera distinta de la de coníferas.</v>
          </cell>
          <cell r="C61">
            <v>10</v>
          </cell>
          <cell r="D61" t="str">
            <v>Excepto: Que tengan, por lo menos, un tablero de partículas.</v>
          </cell>
          <cell r="E61" t="str">
            <v>10 Excepto: Que tengan, por lo menos, un tablero de partículas.</v>
          </cell>
        </row>
        <row r="62">
          <cell r="A62" t="str">
            <v>4412.99.91</v>
          </cell>
          <cell r="B62" t="str">
            <v>Las demás, con las dos hojas externas de madera de coníferas.</v>
          </cell>
          <cell r="C62">
            <v>5</v>
          </cell>
          <cell r="D62" t="str">
            <v>Únicamente: Que tengan, por lo menos, un tablero de partículas.</v>
          </cell>
          <cell r="E62" t="str">
            <v>5 Únicamente: Que tengan, por lo menos, un tablero de partículas.</v>
          </cell>
        </row>
        <row r="63">
          <cell r="A63" t="str">
            <v>4412.99.91</v>
          </cell>
          <cell r="B63" t="str">
            <v>Las demás, con las dos hojas externas de madera de coníferas.</v>
          </cell>
          <cell r="C63">
            <v>10</v>
          </cell>
          <cell r="D63" t="str">
            <v>Excepto: Que tengan, por lo menos, un tablero de partículas.</v>
          </cell>
          <cell r="E63" t="str">
            <v>10 Excepto: Que tengan, por lo menos, un tablero de partículas.</v>
          </cell>
        </row>
        <row r="64">
          <cell r="A64" t="str">
            <v>4413.00.99</v>
          </cell>
          <cell r="B64" t="str">
            <v>Los demás.</v>
          </cell>
          <cell r="C64" t="str">
            <v>Ex.</v>
          </cell>
          <cell r="E64" t="str">
            <v xml:space="preserve">Ex. </v>
          </cell>
        </row>
        <row r="65">
          <cell r="A65" t="str">
            <v>4417.00.99</v>
          </cell>
          <cell r="B65" t="str">
            <v>Los demás.</v>
          </cell>
          <cell r="C65" t="str">
            <v>Ex.</v>
          </cell>
          <cell r="E65" t="str">
            <v xml:space="preserve">Ex. </v>
          </cell>
        </row>
        <row r="66">
          <cell r="A66" t="str">
            <v>4420.11.99</v>
          </cell>
          <cell r="B66" t="str">
            <v>Los demás.</v>
          </cell>
          <cell r="C66" t="str">
            <v>Ex.</v>
          </cell>
          <cell r="E66" t="str">
            <v xml:space="preserve">Ex. </v>
          </cell>
        </row>
        <row r="67">
          <cell r="A67" t="str">
            <v>4420.19.99</v>
          </cell>
          <cell r="B67" t="str">
            <v>Los demás.</v>
          </cell>
          <cell r="C67" t="str">
            <v>Ex.</v>
          </cell>
          <cell r="E67" t="str">
            <v xml:space="preserve">Ex. </v>
          </cell>
        </row>
        <row r="68">
          <cell r="A68" t="str">
            <v>4420.90.99</v>
          </cell>
          <cell r="B68" t="str">
            <v>Los demás.</v>
          </cell>
          <cell r="C68" t="str">
            <v>Ex.</v>
          </cell>
          <cell r="E68" t="str">
            <v xml:space="preserve">Ex. </v>
          </cell>
        </row>
        <row r="69">
          <cell r="A69" t="str">
            <v>4421.91.02</v>
          </cell>
          <cell r="B69" t="str">
            <v>Tapones.</v>
          </cell>
          <cell r="C69" t="str">
            <v>Ex.</v>
          </cell>
          <cell r="E69" t="str">
            <v xml:space="preserve">Ex. </v>
          </cell>
        </row>
        <row r="70">
          <cell r="A70" t="str">
            <v>4421.91.99</v>
          </cell>
          <cell r="B70" t="str">
            <v>Los demás.</v>
          </cell>
          <cell r="C70" t="str">
            <v>Ex.</v>
          </cell>
          <cell r="D70" t="str">
            <v>Excepto: Adoquines.</v>
          </cell>
          <cell r="E70" t="str">
            <v>Ex. Excepto: Adoquines.</v>
          </cell>
        </row>
        <row r="71">
          <cell r="A71" t="str">
            <v>4421.99.02</v>
          </cell>
          <cell r="B71" t="str">
            <v>Tapones.</v>
          </cell>
          <cell r="C71" t="str">
            <v>Ex.</v>
          </cell>
          <cell r="E71" t="str">
            <v xml:space="preserve">Ex. </v>
          </cell>
        </row>
        <row r="72">
          <cell r="A72" t="str">
            <v>4421.99.99</v>
          </cell>
          <cell r="B72" t="str">
            <v>Las demás.</v>
          </cell>
          <cell r="C72" t="str">
            <v>Ex.</v>
          </cell>
          <cell r="D72" t="str">
            <v>Excepto: Adoquines.</v>
          </cell>
          <cell r="E72" t="str">
            <v>Ex. Excepto: Adoquines.</v>
          </cell>
        </row>
        <row r="73">
          <cell r="A73" t="str">
            <v>4601.93.02</v>
          </cell>
          <cell r="B73" t="str">
            <v>De ratán (roten).</v>
          </cell>
          <cell r="C73" t="str">
            <v>Ex.</v>
          </cell>
          <cell r="E73" t="str">
            <v xml:space="preserve">Ex. </v>
          </cell>
        </row>
        <row r="74">
          <cell r="A74" t="str">
            <v>4601.94.99</v>
          </cell>
          <cell r="B74" t="str">
            <v>Los demás.</v>
          </cell>
          <cell r="C74" t="str">
            <v>Ex.</v>
          </cell>
          <cell r="E74" t="str">
            <v xml:space="preserve">Ex. </v>
          </cell>
        </row>
        <row r="75">
          <cell r="A75" t="str">
            <v>5407.42.05</v>
          </cell>
          <cell r="B75" t="str">
            <v>Teñidos.</v>
          </cell>
          <cell r="C75" t="str">
            <v>Ex.</v>
          </cell>
          <cell r="E75" t="str">
            <v xml:space="preserve">Ex. </v>
          </cell>
        </row>
        <row r="76">
          <cell r="A76" t="str">
            <v>5903.20.02</v>
          </cell>
          <cell r="B76" t="str">
            <v>Con poliuretano.</v>
          </cell>
          <cell r="C76" t="str">
            <v>Ex.</v>
          </cell>
          <cell r="D76" t="str">
            <v>Únicamente: De fibras sintéticas o artificiales.</v>
          </cell>
          <cell r="E76" t="str">
            <v>Ex. Únicamente: De fibras sintéticas o artificiales.</v>
          </cell>
        </row>
        <row r="77">
          <cell r="A77" t="str">
            <v>5911.90.99</v>
          </cell>
          <cell r="B77" t="str">
            <v>Los demás.</v>
          </cell>
          <cell r="C77" t="str">
            <v>Ex.</v>
          </cell>
          <cell r="D77" t="str">
            <v>Excepto: Tejidos armados con metal, de los tipos comúnmente empleados en usos técnicos.</v>
          </cell>
          <cell r="E77" t="str">
            <v>Ex. Excepto: Tejidos armados con metal, de los tipos comúnmente empleados en usos técnicos.</v>
          </cell>
        </row>
        <row r="78">
          <cell r="A78" t="str">
            <v>6005.37.91</v>
          </cell>
          <cell r="B78" t="str">
            <v>Los demás, teñidos.</v>
          </cell>
          <cell r="C78" t="str">
            <v>Ex.</v>
          </cell>
          <cell r="D78" t="str">
            <v>Únicamente: Totalmente de poliamidas, con un fieltro de fibras de polipropileno en una de sus caras, como soporte.</v>
          </cell>
          <cell r="E78" t="str">
            <v>Ex. Únicamente: Totalmente de poliamidas, con un fieltro de fibras de polipropileno en una de sus caras, como soporte.</v>
          </cell>
        </row>
        <row r="79">
          <cell r="A79" t="str">
            <v>6804.30.01</v>
          </cell>
          <cell r="B79" t="str">
            <v>Piedras de afilar o pulir a mano.</v>
          </cell>
          <cell r="C79" t="str">
            <v>Ex.</v>
          </cell>
          <cell r="E79" t="str">
            <v xml:space="preserve">Ex. </v>
          </cell>
        </row>
        <row r="80">
          <cell r="A80" t="str">
            <v>6805.10.01</v>
          </cell>
          <cell r="B80" t="str">
            <v>Con soporte constituido solamente por tejido de materia textil.</v>
          </cell>
          <cell r="C80" t="str">
            <v>Ex.</v>
          </cell>
          <cell r="D80" t="str">
            <v>Excepto: De anchura superior a 1800 mm.</v>
          </cell>
          <cell r="E80" t="str">
            <v>Ex. Excepto: De anchura superior a 1800 mm.</v>
          </cell>
        </row>
        <row r="81">
          <cell r="A81" t="str">
            <v>6805.20.01</v>
          </cell>
          <cell r="B81" t="str">
            <v>Con soporte constituido solamente por papel o cartón.</v>
          </cell>
          <cell r="C81" t="str">
            <v>Ex.</v>
          </cell>
          <cell r="E81" t="str">
            <v xml:space="preserve">Ex. </v>
          </cell>
        </row>
        <row r="82">
          <cell r="A82" t="str">
            <v>7005.29.99</v>
          </cell>
          <cell r="B82" t="str">
            <v>Los demás.</v>
          </cell>
          <cell r="C82" t="str">
            <v>Ex.</v>
          </cell>
          <cell r="D82" t="str">
            <v>Excepto: De vidrio flotado claro</v>
          </cell>
          <cell r="E82" t="str">
            <v>Ex. Excepto: De vidrio flotado claro</v>
          </cell>
        </row>
        <row r="83">
          <cell r="A83" t="str">
            <v>7006.00.04</v>
          </cell>
          <cell r="B83" t="str">
            <v>Vidrio de las partidas 70.03, 70.04 o 70.05, curvado, biselado, grabado, taladrado, esmaltado o trabajado de otro modo, pero sin enmarcar ni combinar con otras materias.</v>
          </cell>
          <cell r="C83" t="str">
            <v>Ex.</v>
          </cell>
          <cell r="D83" t="str">
            <v>Excepto: Flotado claro; Flotado, coloreados en la masa.</v>
          </cell>
          <cell r="E83" t="str">
            <v>Ex. Excepto: Flotado claro; Flotado, coloreados en la masa.</v>
          </cell>
        </row>
        <row r="84">
          <cell r="A84" t="str">
            <v>7009.91.99</v>
          </cell>
          <cell r="B84" t="str">
            <v>Los demás.</v>
          </cell>
          <cell r="C84" t="str">
            <v>Ex.</v>
          </cell>
          <cell r="E84" t="str">
            <v xml:space="preserve">Ex. </v>
          </cell>
        </row>
        <row r="85">
          <cell r="A85" t="str">
            <v>7318.15.04</v>
          </cell>
          <cell r="B85" t="str">
            <v>Tornillos con diámetro inferior a 6.4 mm (¼ pulgada) y longitud inferior a 50.8 mm (2 pulgadas), excepto las de acero inoxidable y las reconocibles para naves aéreas o uso automotriz.</v>
          </cell>
          <cell r="C85" t="str">
            <v>Ex.</v>
          </cell>
          <cell r="E85" t="str">
            <v xml:space="preserve">Ex. </v>
          </cell>
        </row>
        <row r="86">
          <cell r="A86" t="str">
            <v>7604.10.02</v>
          </cell>
          <cell r="B86" t="str">
            <v>Perfiles.</v>
          </cell>
          <cell r="C86" t="str">
            <v>Ex.</v>
          </cell>
          <cell r="E86" t="str">
            <v xml:space="preserve">Ex. </v>
          </cell>
        </row>
        <row r="87">
          <cell r="A87" t="str">
            <v>7606.11.99</v>
          </cell>
          <cell r="B87" t="str">
            <v>Los demás.</v>
          </cell>
          <cell r="C87" t="str">
            <v>Ex.</v>
          </cell>
          <cell r="E87" t="str">
            <v xml:space="preserve">Ex. </v>
          </cell>
        </row>
        <row r="88">
          <cell r="A88" t="str">
            <v>7606.12.99</v>
          </cell>
          <cell r="B88" t="str">
            <v>Los demás.</v>
          </cell>
          <cell r="C88" t="str">
            <v>Ex.</v>
          </cell>
          <cell r="E88" t="str">
            <v xml:space="preserve">Ex. </v>
          </cell>
        </row>
        <row r="89">
          <cell r="A89" t="str">
            <v>7616.10.99</v>
          </cell>
          <cell r="B89" t="str">
            <v>Los demás.</v>
          </cell>
          <cell r="C89" t="str">
            <v>Ex.</v>
          </cell>
          <cell r="E89" t="str">
            <v xml:space="preserve">Ex. </v>
          </cell>
        </row>
        <row r="90">
          <cell r="A90" t="str">
            <v>7616.99.99</v>
          </cell>
          <cell r="B90" t="str">
            <v>Las demás.</v>
          </cell>
          <cell r="C90" t="str">
            <v>Ex.</v>
          </cell>
          <cell r="E90" t="str">
            <v xml:space="preserve">Ex. </v>
          </cell>
        </row>
        <row r="91">
          <cell r="A91" t="str">
            <v>8202.31.01</v>
          </cell>
          <cell r="B91" t="str">
            <v>Con diámetro exterior inferior o igual a 800 mm.</v>
          </cell>
          <cell r="C91" t="str">
            <v>Ex.</v>
          </cell>
          <cell r="E91" t="str">
            <v xml:space="preserve">Ex. </v>
          </cell>
        </row>
        <row r="92">
          <cell r="A92" t="str">
            <v>8203.10.99</v>
          </cell>
          <cell r="B92" t="str">
            <v>Las demás.</v>
          </cell>
          <cell r="C92" t="str">
            <v>Ex.</v>
          </cell>
          <cell r="D92" t="str">
            <v>Excepto: Limas, con peso inferior o igual a 22 g.</v>
          </cell>
          <cell r="E92" t="str">
            <v>Ex. Excepto: Limas, con peso inferior o igual a 22 g.</v>
          </cell>
        </row>
        <row r="93">
          <cell r="A93" t="str">
            <v>8203.20.99</v>
          </cell>
          <cell r="B93" t="str">
            <v>Los demás.</v>
          </cell>
          <cell r="C93" t="str">
            <v>Ex.</v>
          </cell>
          <cell r="E93" t="str">
            <v xml:space="preserve">Ex. </v>
          </cell>
        </row>
        <row r="94">
          <cell r="A94" t="str">
            <v>8203.30.01</v>
          </cell>
          <cell r="B94" t="str">
            <v>Cizallas para metales y herramientas similares.</v>
          </cell>
          <cell r="C94" t="str">
            <v>Ex.</v>
          </cell>
          <cell r="E94" t="str">
            <v xml:space="preserve">Ex. </v>
          </cell>
        </row>
        <row r="95">
          <cell r="A95" t="str">
            <v>8203.40.99</v>
          </cell>
          <cell r="B95" t="str">
            <v>Los demás.</v>
          </cell>
          <cell r="C95" t="str">
            <v>Ex.</v>
          </cell>
          <cell r="D95" t="str">
            <v>Únicamente: Cortatubos.</v>
          </cell>
          <cell r="E95" t="str">
            <v>Ex. Únicamente: Cortatubos.</v>
          </cell>
        </row>
        <row r="96">
          <cell r="A96" t="str">
            <v>8204.11.01</v>
          </cell>
          <cell r="B96" t="str">
            <v>Llaves de palanca con matraca, excepto lo comprendido en la fracción arancelaria 8204.11.02.</v>
          </cell>
          <cell r="C96" t="str">
            <v>Ex.</v>
          </cell>
          <cell r="E96" t="str">
            <v xml:space="preserve">Ex. </v>
          </cell>
        </row>
        <row r="97">
          <cell r="A97" t="str">
            <v>8204.11.02</v>
          </cell>
          <cell r="B97" t="str">
            <v>Con longitud igual o inferior a 610 mm, para tubos.</v>
          </cell>
          <cell r="C97" t="str">
            <v>Ex.</v>
          </cell>
          <cell r="E97" t="str">
            <v xml:space="preserve">Ex. </v>
          </cell>
        </row>
        <row r="98">
          <cell r="A98" t="str">
            <v>8204.11.99</v>
          </cell>
          <cell r="B98" t="str">
            <v>Los demás.</v>
          </cell>
          <cell r="C98" t="str">
            <v>Ex.</v>
          </cell>
          <cell r="E98" t="str">
            <v xml:space="preserve">Ex. </v>
          </cell>
        </row>
        <row r="99">
          <cell r="A99" t="str">
            <v>8204.12.99</v>
          </cell>
          <cell r="B99" t="str">
            <v>Los demás.</v>
          </cell>
          <cell r="C99" t="str">
            <v>Ex.</v>
          </cell>
          <cell r="D99" t="str">
            <v>Excepto: Llaves de ajuste con longitud inferior o igual a 785 mm, para tubos.</v>
          </cell>
          <cell r="E99" t="str">
            <v>Ex. Excepto: Llaves de ajuste con longitud inferior o igual a 785 mm, para tubos.</v>
          </cell>
        </row>
        <row r="100">
          <cell r="A100" t="str">
            <v>8205.10.99</v>
          </cell>
          <cell r="B100" t="str">
            <v>Las demás.</v>
          </cell>
          <cell r="C100" t="str">
            <v>Ex.</v>
          </cell>
          <cell r="D100" t="str">
            <v>Únicamente: Manerales para aterrajar, aun cuando se presenten con sus dados (terrajas).</v>
          </cell>
          <cell r="E100" t="str">
            <v>Ex. Únicamente: Manerales para aterrajar, aun cuando se presenten con sus dados (terrajas).</v>
          </cell>
        </row>
        <row r="101">
          <cell r="A101" t="str">
            <v>8205.20.01</v>
          </cell>
          <cell r="B101" t="str">
            <v>Martillos y mazas.</v>
          </cell>
          <cell r="C101" t="str">
            <v>Ex.</v>
          </cell>
          <cell r="E101" t="str">
            <v xml:space="preserve">Ex. </v>
          </cell>
        </row>
        <row r="102">
          <cell r="A102" t="str">
            <v>8205.40.99</v>
          </cell>
          <cell r="B102" t="str">
            <v>Los demás.</v>
          </cell>
          <cell r="C102" t="str">
            <v>Ex.</v>
          </cell>
          <cell r="E102" t="str">
            <v xml:space="preserve">Ex. </v>
          </cell>
        </row>
        <row r="103">
          <cell r="A103" t="str">
            <v>8205.59.99</v>
          </cell>
          <cell r="B103" t="str">
            <v>Las demás.</v>
          </cell>
          <cell r="C103" t="str">
            <v>Ex.</v>
          </cell>
          <cell r="D103" t="str">
            <v>Excepto: Paletas (cucharas) de albañil; espátulas; avellanadoras o expansores para tubos; aparatos o herramientas tipo pistola, impulsados por cartuchos detonantes, para incrustar o remachar taquetes, pernos o clavos; atadores o precintadores; Llanas; cinceles y cortafríos; alcuzas (aceiteras); cortavidrios.</v>
          </cell>
          <cell r="E103" t="str">
            <v>Ex. Excepto: Paletas (cucharas) de albañil; espátulas; avellanadoras o expansores para tubos; aparatos o herramientas tipo pistola, impulsados por cartuchos detonantes, para incrustar o remachar taquetes, pernos o clavos; atadores o precintadores; Llanas; cinceles y cortafríos; alcuzas (aceiteras); cortavidrios.</v>
          </cell>
        </row>
        <row r="104">
          <cell r="A104" t="str">
            <v>8205.70.99</v>
          </cell>
          <cell r="B104" t="str">
            <v>Los demás.</v>
          </cell>
          <cell r="C104" t="str">
            <v>Ex.</v>
          </cell>
          <cell r="D104" t="str">
            <v>Únicamente: Prensas de sujeción.</v>
          </cell>
          <cell r="E104" t="str">
            <v>Ex. Únicamente: Prensas de sujeción.</v>
          </cell>
        </row>
        <row r="105">
          <cell r="A105" t="str">
            <v>8205.90.91</v>
          </cell>
          <cell r="B105" t="str">
            <v>Los demás, incluidos los juegos de artículos de dos o más de las subpartidas anteriores.</v>
          </cell>
          <cell r="C105" t="str">
            <v>Ex.</v>
          </cell>
          <cell r="D105" t="str">
            <v>Únicamente: Yunques y fraguas portátiles.</v>
          </cell>
          <cell r="E105" t="str">
            <v>Ex. Únicamente: Yunques y fraguas portátiles.</v>
          </cell>
        </row>
        <row r="106">
          <cell r="A106" t="str">
            <v>8206.00.01</v>
          </cell>
          <cell r="B106" t="str">
            <v>Herramientas de dos o más de las partidas 82.02 a 82.05, acondicionadas en juegos para la venta al por menor.</v>
          </cell>
          <cell r="C106" t="str">
            <v>Ex.</v>
          </cell>
          <cell r="E106" t="str">
            <v xml:space="preserve">Ex. </v>
          </cell>
        </row>
        <row r="107">
          <cell r="A107" t="str">
            <v>8207.90.99</v>
          </cell>
          <cell r="B107" t="str">
            <v>Los demás.</v>
          </cell>
          <cell r="C107" t="str">
            <v>Ex.</v>
          </cell>
          <cell r="E107" t="str">
            <v xml:space="preserve">Ex. </v>
          </cell>
        </row>
        <row r="108">
          <cell r="A108" t="str">
            <v>8211.92.99</v>
          </cell>
          <cell r="B108" t="str">
            <v>Los demás.</v>
          </cell>
          <cell r="C108" t="str">
            <v>Ex.</v>
          </cell>
          <cell r="E108" t="str">
            <v xml:space="preserve">Ex. </v>
          </cell>
        </row>
        <row r="109">
          <cell r="A109" t="str">
            <v>8211.94.01</v>
          </cell>
          <cell r="B109" t="str">
            <v>Hojas.</v>
          </cell>
          <cell r="C109" t="str">
            <v>Ex.</v>
          </cell>
          <cell r="E109" t="str">
            <v xml:space="preserve">Ex. </v>
          </cell>
        </row>
        <row r="110">
          <cell r="A110" t="str">
            <v>8301.10.01</v>
          </cell>
          <cell r="B110" t="str">
            <v>Candados.</v>
          </cell>
          <cell r="C110" t="str">
            <v>Ex.</v>
          </cell>
          <cell r="E110" t="str">
            <v xml:space="preserve">Ex. </v>
          </cell>
        </row>
        <row r="111">
          <cell r="A111" t="str">
            <v>8301.30.01</v>
          </cell>
          <cell r="B111" t="str">
            <v>Cerraduras de los tipos utilizados en muebles.</v>
          </cell>
          <cell r="C111" t="str">
            <v>Ex.</v>
          </cell>
          <cell r="E111" t="str">
            <v xml:space="preserve">Ex. </v>
          </cell>
        </row>
        <row r="112">
          <cell r="A112" t="str">
            <v>8302.10.99</v>
          </cell>
          <cell r="B112" t="str">
            <v>Los demás.</v>
          </cell>
          <cell r="C112" t="str">
            <v>Ex.</v>
          </cell>
          <cell r="E112" t="str">
            <v xml:space="preserve">Ex. </v>
          </cell>
        </row>
        <row r="113">
          <cell r="A113" t="str">
            <v>8302.20.02</v>
          </cell>
          <cell r="B113" t="str">
            <v>Ruedas.</v>
          </cell>
          <cell r="C113" t="str">
            <v>Ex.</v>
          </cell>
          <cell r="E113" t="str">
            <v xml:space="preserve">Ex. </v>
          </cell>
        </row>
        <row r="114">
          <cell r="A114" t="str">
            <v>8302.42.91</v>
          </cell>
          <cell r="B114" t="str">
            <v>Los demás, para muebles.</v>
          </cell>
          <cell r="C114" t="str">
            <v>Ex.</v>
          </cell>
          <cell r="D114" t="str">
            <v>Excepto: Reconocibles como diseñadas exclusivamente para asientos, incluso los transformables en camas.</v>
          </cell>
          <cell r="E114" t="str">
            <v>Ex. Excepto: Reconocibles como diseñadas exclusivamente para asientos, incluso los transformables en camas.</v>
          </cell>
        </row>
        <row r="115">
          <cell r="A115" t="str">
            <v>8302.49.99</v>
          </cell>
          <cell r="B115" t="str">
            <v>Los demás.</v>
          </cell>
          <cell r="C115" t="str">
            <v>Ex.</v>
          </cell>
          <cell r="E115" t="str">
            <v xml:space="preserve">Ex. </v>
          </cell>
        </row>
        <row r="116">
          <cell r="A116" t="str">
            <v>8307.10.99</v>
          </cell>
          <cell r="B116" t="str">
            <v>Los demás.</v>
          </cell>
          <cell r="C116" t="str">
            <v>Ex.</v>
          </cell>
          <cell r="E116" t="str">
            <v xml:space="preserve">Ex. </v>
          </cell>
        </row>
        <row r="117">
          <cell r="A117" t="str">
            <v>8308.10.99</v>
          </cell>
          <cell r="B117" t="str">
            <v>Los demás.</v>
          </cell>
          <cell r="C117" t="str">
            <v>Ex.</v>
          </cell>
          <cell r="E117" t="str">
            <v xml:space="preserve">Ex. </v>
          </cell>
        </row>
        <row r="118">
          <cell r="A118" t="str">
            <v>8308.20.01</v>
          </cell>
          <cell r="B118" t="str">
            <v>Remaches tubulares o con espiga hendida.</v>
          </cell>
          <cell r="C118" t="str">
            <v>Ex.</v>
          </cell>
          <cell r="E118" t="str">
            <v xml:space="preserve">Ex. </v>
          </cell>
        </row>
        <row r="119">
          <cell r="A119" t="str">
            <v>8308.90.91</v>
          </cell>
          <cell r="B119" t="str">
            <v>Los demás, incluidas las partes.</v>
          </cell>
          <cell r="C119" t="str">
            <v>Ex.</v>
          </cell>
          <cell r="E119" t="str">
            <v xml:space="preserve">Ex. </v>
          </cell>
        </row>
        <row r="120">
          <cell r="A120" t="str">
            <v>8309.90.99</v>
          </cell>
          <cell r="B120" t="str">
            <v>Los demás.</v>
          </cell>
          <cell r="C120" t="str">
            <v>Ex.</v>
          </cell>
          <cell r="D120" t="str">
            <v>Excepto: Tapones sin cerradura, para tanques de gasolina; sellos o precintos; cápsulas para botellas.</v>
          </cell>
          <cell r="E120" t="str">
            <v>Ex. Excepto: Tapones sin cerradura, para tanques de gasolina; sellos o precintos; cápsulas para botellas.</v>
          </cell>
        </row>
        <row r="121">
          <cell r="A121" t="str">
            <v>8412.31.01</v>
          </cell>
          <cell r="B121" t="str">
            <v>De aire, reconocibles como diseñados exclusivamente para bombas neumáticas.</v>
          </cell>
          <cell r="C121" t="str">
            <v>Ex.</v>
          </cell>
          <cell r="E121" t="str">
            <v xml:space="preserve">Ex. </v>
          </cell>
        </row>
        <row r="122">
          <cell r="A122" t="str">
            <v>8413.20.01</v>
          </cell>
          <cell r="B122" t="str">
            <v>Bombas manuales, excepto las de las subpartidas 8413.11 u 8413.19.</v>
          </cell>
          <cell r="C122" t="str">
            <v>Ex.</v>
          </cell>
          <cell r="E122" t="str">
            <v xml:space="preserve">Ex. </v>
          </cell>
        </row>
        <row r="123">
          <cell r="A123" t="str">
            <v>8417.10.03</v>
          </cell>
          <cell r="B123" t="str">
            <v>Para fusión, calentamiento, recalentamiento y/o tratamiento térmico de metales, excepto la oxicupola, con capacidad superior a 80 t/h y las industriales de operación continua,</v>
          </cell>
          <cell r="C123" t="str">
            <v>Ex.</v>
          </cell>
          <cell r="E123" t="str">
            <v xml:space="preserve">Ex. </v>
          </cell>
        </row>
        <row r="124">
          <cell r="A124" t="str">
            <v>8417.80.99</v>
          </cell>
          <cell r="B124" t="str">
            <v>Los demás.</v>
          </cell>
          <cell r="C124" t="str">
            <v>Ex.</v>
          </cell>
          <cell r="E124" t="str">
            <v xml:space="preserve">Ex. </v>
          </cell>
        </row>
        <row r="125">
          <cell r="A125" t="str">
            <v>8423.20.99</v>
          </cell>
          <cell r="B125" t="str">
            <v>Los demás.</v>
          </cell>
          <cell r="C125" t="str">
            <v>Ex.</v>
          </cell>
          <cell r="E125" t="str">
            <v xml:space="preserve">Ex. </v>
          </cell>
        </row>
        <row r="126">
          <cell r="A126" t="str">
            <v>8423.30.02</v>
          </cell>
          <cell r="B126" t="str">
            <v>Básculas y balanzas para pesada constante, incluidas las de descargar pesos determinados en sacos (bolsas) u otros recipientes, así como las dosificadoras de tolva.</v>
          </cell>
          <cell r="C126" t="str">
            <v>Ex.</v>
          </cell>
          <cell r="D126" t="str">
            <v>Excepto: Dosificadores o comprobadoras que funcionen por medio de peso patrón.</v>
          </cell>
          <cell r="E126" t="str">
            <v>Ex. Excepto: Dosificadores o comprobadoras que funcionen por medio de peso patrón.</v>
          </cell>
        </row>
        <row r="127">
          <cell r="A127" t="str">
            <v>8423.81.03</v>
          </cell>
          <cell r="B127" t="str">
            <v>Con capacidad inferior o igual a 30 kg.</v>
          </cell>
          <cell r="C127" t="str">
            <v>Ex.</v>
          </cell>
          <cell r="D127" t="str">
            <v>Excepto: De funcionamiento electrónico.</v>
          </cell>
          <cell r="E127" t="str">
            <v>Ex. Excepto: De funcionamiento electrónico.</v>
          </cell>
        </row>
        <row r="128">
          <cell r="A128" t="str">
            <v>8423.82.03</v>
          </cell>
          <cell r="B128" t="str">
            <v>Con capacidad superior a 30 kg pero inferior o igual a 5,000 kg.</v>
          </cell>
          <cell r="C128" t="str">
            <v>Ex.</v>
          </cell>
          <cell r="D128" t="str">
            <v>Excepto: De funcionamiento electrónico.</v>
          </cell>
          <cell r="E128" t="str">
            <v>Ex. Excepto: De funcionamiento electrónico.</v>
          </cell>
        </row>
        <row r="129">
          <cell r="A129" t="str">
            <v>8424.20.01</v>
          </cell>
          <cell r="B129" t="str">
            <v>Pulverizadores, espolvoreadores, esparcidores o aspersores, excepto los reconocibles para naves aéreas.</v>
          </cell>
          <cell r="C129" t="str">
            <v>Ex.</v>
          </cell>
          <cell r="E129" t="str">
            <v xml:space="preserve">Ex. </v>
          </cell>
        </row>
        <row r="130">
          <cell r="A130" t="str">
            <v>8425.11.99</v>
          </cell>
          <cell r="B130" t="str">
            <v>Los demás.</v>
          </cell>
          <cell r="C130" t="str">
            <v>Ex.</v>
          </cell>
          <cell r="E130" t="str">
            <v xml:space="preserve">Ex. </v>
          </cell>
        </row>
        <row r="131">
          <cell r="A131" t="str">
            <v>8425.19.99</v>
          </cell>
          <cell r="B131" t="str">
            <v>Los demás.</v>
          </cell>
          <cell r="C131" t="str">
            <v>Ex.</v>
          </cell>
          <cell r="E131" t="str">
            <v xml:space="preserve">Ex. </v>
          </cell>
        </row>
        <row r="132">
          <cell r="A132" t="str">
            <v>8425.31.01</v>
          </cell>
          <cell r="B132" t="str">
            <v>Con capacidad hasta 5,000 kg.</v>
          </cell>
          <cell r="C132" t="str">
            <v>Ex.</v>
          </cell>
          <cell r="E132" t="str">
            <v xml:space="preserve">Ex. </v>
          </cell>
        </row>
        <row r="133">
          <cell r="A133" t="str">
            <v>8425.39.99</v>
          </cell>
          <cell r="B133" t="str">
            <v>Los demás.</v>
          </cell>
          <cell r="C133" t="str">
            <v>Ex.</v>
          </cell>
          <cell r="E133" t="str">
            <v xml:space="preserve">Ex. </v>
          </cell>
        </row>
        <row r="134">
          <cell r="A134" t="str">
            <v>8425.49.99</v>
          </cell>
          <cell r="B134" t="str">
            <v>Los demás.</v>
          </cell>
          <cell r="C134" t="str">
            <v>Ex.</v>
          </cell>
          <cell r="E134" t="str">
            <v xml:space="preserve">Ex. </v>
          </cell>
        </row>
        <row r="135">
          <cell r="A135" t="str">
            <v>8427.10.01</v>
          </cell>
          <cell r="B135" t="str">
            <v>Montacargas de carga frontal y unidad motriz trasera (denominado “counterbalance”), con capacidad de carga hasta  3,500 kg.</v>
          </cell>
          <cell r="C135" t="str">
            <v>Ex.</v>
          </cell>
          <cell r="E135" t="str">
            <v xml:space="preserve">Ex. </v>
          </cell>
        </row>
        <row r="136">
          <cell r="A136" t="str">
            <v>8427.20.01</v>
          </cell>
          <cell r="B136" t="str">
            <v>Carretilla con motor de explosión o combustión interna con capacidad de carga hasta 7,000 kg, medida a 620 mm de la cara frontal de las horquillas, excepto lo comprendido en la fracción arancelaria 8427.20.04.</v>
          </cell>
          <cell r="C136" t="str">
            <v>Ex.</v>
          </cell>
          <cell r="E136" t="str">
            <v xml:space="preserve">Ex. </v>
          </cell>
        </row>
        <row r="137">
          <cell r="A137" t="str">
            <v>8427.20.04</v>
          </cell>
          <cell r="B137" t="str">
            <v>Montacargas de carga frontal y unidad motriz trasera (denominado "counterbalance"), con motor de explosión o combustión interna, con capacidad de carga hasta 7,000 kg.</v>
          </cell>
          <cell r="C137" t="str">
            <v>Ex.</v>
          </cell>
          <cell r="E137" t="str">
            <v xml:space="preserve">Ex. </v>
          </cell>
        </row>
        <row r="138">
          <cell r="A138" t="str">
            <v>8427.90.91</v>
          </cell>
          <cell r="B138" t="str">
            <v>Las demás carretillas.</v>
          </cell>
          <cell r="C138" t="str">
            <v>Ex.</v>
          </cell>
          <cell r="D138" t="str">
            <v>Excepto: Carros de transferencia (plataforma móvil o cambiador para los recolectores o apiladores de minerales).</v>
          </cell>
          <cell r="E138" t="str">
            <v>Ex. Excepto: Carros de transferencia (plataforma móvil o cambiador para los recolectores o apiladores de minerales).</v>
          </cell>
        </row>
        <row r="139">
          <cell r="A139" t="str">
            <v>8428.70.01</v>
          </cell>
          <cell r="B139" t="str">
            <v>Robots industriales.</v>
          </cell>
          <cell r="C139" t="str">
            <v>Ex.</v>
          </cell>
          <cell r="E139" t="str">
            <v xml:space="preserve">Ex. </v>
          </cell>
        </row>
        <row r="140">
          <cell r="A140" t="str">
            <v>8428.90.99</v>
          </cell>
          <cell r="B140" t="str">
            <v>Los demás.</v>
          </cell>
          <cell r="C140" t="str">
            <v>Ex.</v>
          </cell>
          <cell r="D140" t="str">
            <v>Excepto: Brazos de carga marinos o terrestres (garzas marinas o terrestres), reconocibles para la carga o descarga de petróleo o sus derivados en navíos o carros tanque.</v>
          </cell>
          <cell r="E140" t="str">
            <v>Ex. Excepto: Brazos de carga marinos o terrestres (garzas marinas o terrestres), reconocibles para la carga o descarga de petróleo o sus derivados en navíos o carros tanque.</v>
          </cell>
        </row>
        <row r="141">
          <cell r="A141" t="str">
            <v>8458.19.01</v>
          </cell>
          <cell r="B141" t="str">
            <v>Paralelos universales, con distancia entre puntos hasta de 4.5 m y con capacidad de volteo hasta de 750 mm de diámetro sobre la bancada.</v>
          </cell>
          <cell r="C141" t="str">
            <v>Ex.</v>
          </cell>
          <cell r="E141" t="str">
            <v xml:space="preserve">Ex. </v>
          </cell>
        </row>
        <row r="142">
          <cell r="A142" t="str">
            <v>8459.51.01</v>
          </cell>
          <cell r="B142" t="str">
            <v>De control numérico.</v>
          </cell>
          <cell r="C142" t="str">
            <v>Ex.</v>
          </cell>
          <cell r="E142" t="str">
            <v xml:space="preserve">Ex. </v>
          </cell>
        </row>
        <row r="143">
          <cell r="A143" t="str">
            <v>8461.50.02</v>
          </cell>
          <cell r="B143" t="str">
            <v>Serradoras de disco o de cinta sinfín, excepto de control numérico.</v>
          </cell>
          <cell r="C143" t="str">
            <v>Ex.</v>
          </cell>
          <cell r="E143" t="str">
            <v xml:space="preserve">Ex. </v>
          </cell>
        </row>
        <row r="144">
          <cell r="A144" t="str">
            <v>8462.11.01</v>
          </cell>
          <cell r="B144" t="str">
            <v>Hidráulicas con capacidad (de presión de trabajo) hasta 1,000 t.</v>
          </cell>
          <cell r="C144" t="str">
            <v>Ex.</v>
          </cell>
          <cell r="E144" t="str">
            <v xml:space="preserve">Ex. </v>
          </cell>
        </row>
        <row r="145">
          <cell r="A145" t="str">
            <v>8462.19.01</v>
          </cell>
          <cell r="B145" t="str">
            <v>Hidráulicas con capacidad (de presión de trabajo) hasta 1,000 t.</v>
          </cell>
          <cell r="C145" t="str">
            <v>Ex.</v>
          </cell>
          <cell r="E145" t="str">
            <v xml:space="preserve">Ex. </v>
          </cell>
        </row>
        <row r="146">
          <cell r="A146" t="str">
            <v>8462.29.03</v>
          </cell>
          <cell r="B146" t="str">
            <v>Prensas hidráulicas con capacidad (de presión de trabajo) hasta  1,000 t, excepto de control numérico.</v>
          </cell>
          <cell r="C146" t="str">
            <v>Ex.</v>
          </cell>
          <cell r="E146" t="str">
            <v xml:space="preserve">Ex. </v>
          </cell>
        </row>
        <row r="147">
          <cell r="A147" t="str">
            <v>8462.39.01</v>
          </cell>
          <cell r="B147" t="str">
            <v>Cizallas o guillotinas; cortadoras de alambre o alambrón.</v>
          </cell>
          <cell r="C147" t="str">
            <v>Ex.</v>
          </cell>
          <cell r="E147" t="str">
            <v xml:space="preserve">Ex. </v>
          </cell>
        </row>
        <row r="148">
          <cell r="A148" t="str">
            <v>8462.39.03</v>
          </cell>
          <cell r="B148" t="str">
            <v>Prensas mecánicas con capacidad inferior o igual a 200 t.</v>
          </cell>
          <cell r="C148" t="str">
            <v>Ex.</v>
          </cell>
          <cell r="E148" t="str">
            <v xml:space="preserve">Ex. </v>
          </cell>
        </row>
        <row r="149">
          <cell r="A149" t="str">
            <v>8462.59.03</v>
          </cell>
          <cell r="B149" t="str">
            <v>Cizallas o guillotinas; cortadoras de alambre o alambrón.</v>
          </cell>
          <cell r="C149" t="str">
            <v>Ex.</v>
          </cell>
          <cell r="E149" t="str">
            <v xml:space="preserve">Ex. </v>
          </cell>
        </row>
        <row r="150">
          <cell r="A150" t="str">
            <v>8462.61.01</v>
          </cell>
          <cell r="B150" t="str">
            <v>Prensas hidráulicas con capacidad (de presión de trabajo) hasta 1,000 t.</v>
          </cell>
          <cell r="C150" t="str">
            <v>Ex.</v>
          </cell>
          <cell r="D150" t="str">
            <v>Excepto: De forjar o estampar; de enrollar, curvar, plegar, enderezar o aplanar.</v>
          </cell>
          <cell r="E150" t="str">
            <v>Ex. Excepto: De forjar o estampar; de enrollar, curvar, plegar, enderezar o aplanar.</v>
          </cell>
        </row>
        <row r="151">
          <cell r="A151" t="str">
            <v>8462.62.01</v>
          </cell>
          <cell r="B151" t="str">
            <v>Prensas mecánicas con capacidad inferior o igual a 200 t, excepto para punzonar o entallar.</v>
          </cell>
          <cell r="C151" t="str">
            <v>Ex.</v>
          </cell>
          <cell r="E151" t="str">
            <v xml:space="preserve">Ex. </v>
          </cell>
        </row>
        <row r="152">
          <cell r="A152" t="str">
            <v>8465.95.01</v>
          </cell>
          <cell r="B152" t="str">
            <v>Taladradoras o escopleadoras.</v>
          </cell>
          <cell r="C152" t="str">
            <v>Ex.</v>
          </cell>
          <cell r="E152" t="str">
            <v xml:space="preserve">Ex. </v>
          </cell>
        </row>
        <row r="153">
          <cell r="A153" t="str">
            <v>8466.93.03</v>
          </cell>
          <cell r="B153" t="str">
            <v>Reconocibles como diseñadas exclusiva o principalmente para taladros de columna o banco con transmisión por bandas o engranados.</v>
          </cell>
          <cell r="C153" t="str">
            <v>Ex.</v>
          </cell>
          <cell r="E153" t="str">
            <v xml:space="preserve">Ex. </v>
          </cell>
        </row>
        <row r="154">
          <cell r="A154" t="str">
            <v>8467.22.03</v>
          </cell>
          <cell r="B154" t="str">
            <v>Sierra caladora, con potencia inferior o igual a 0.4 CP.</v>
          </cell>
          <cell r="C154" t="str">
            <v>Ex.</v>
          </cell>
          <cell r="E154" t="str">
            <v xml:space="preserve">Ex. </v>
          </cell>
        </row>
        <row r="155">
          <cell r="A155" t="str">
            <v>8467.29.01</v>
          </cell>
          <cell r="B155" t="str">
            <v>Esmeriladoras con un mínimo de 4,000 RPM a un máximo de 8,000 RPM, con capacidad de 8 a 25 amperes y de 100 a 150 V, con peso de 4 kg a 8 kg.</v>
          </cell>
          <cell r="C155" t="str">
            <v>Ex.</v>
          </cell>
          <cell r="E155" t="str">
            <v xml:space="preserve">Ex. </v>
          </cell>
        </row>
        <row r="156">
          <cell r="A156" t="str">
            <v>8467.29.03</v>
          </cell>
          <cell r="B156" t="str">
            <v>Pulidora-lijadora orbital con potencia inferior o igual a 0.2 CP.</v>
          </cell>
          <cell r="C156" t="str">
            <v>Ex.</v>
          </cell>
          <cell r="E156" t="str">
            <v xml:space="preserve">Ex. </v>
          </cell>
        </row>
        <row r="157">
          <cell r="A157" t="str">
            <v>8474.20.99</v>
          </cell>
          <cell r="B157" t="str">
            <v>Los demás.</v>
          </cell>
          <cell r="C157" t="str">
            <v>Ex.</v>
          </cell>
          <cell r="D157" t="str">
            <v>Excepto: Quebrantadores y trituradores de dos o más cilindros; quebrantadores de mandíbulas y trituradores de muelas; quebrantadores giratorios de conos, con diámetro de tazón inferior o igual a 1,200 mm; trituradores de navajas.</v>
          </cell>
          <cell r="E157" t="str">
            <v>Ex. Excepto: Quebrantadores y trituradores de dos o más cilindros; quebrantadores de mandíbulas y trituradores de muelas; quebrantadores giratorios de conos, con diámetro de tazón inferior o igual a 1,200 mm; trituradores de navajas.</v>
          </cell>
        </row>
        <row r="158">
          <cell r="A158" t="str">
            <v>8477.20.01</v>
          </cell>
          <cell r="B158" t="str">
            <v>De un husillo, para materias termoplásticas o de elastómeros granulados.</v>
          </cell>
          <cell r="C158" t="str">
            <v>Ex.</v>
          </cell>
          <cell r="E158" t="str">
            <v xml:space="preserve">Ex. </v>
          </cell>
        </row>
        <row r="159">
          <cell r="A159" t="str">
            <v>8479.81.04</v>
          </cell>
          <cell r="B159" t="str">
            <v>Para limpieza, pulido o abrillantado de piezas metálicas con abrasivos en circulación, excepto lo comprendido en la fracción arancelaria 8479.81.02.</v>
          </cell>
          <cell r="C159" t="str">
            <v>Ex.</v>
          </cell>
          <cell r="E159" t="str">
            <v xml:space="preserve">Ex. </v>
          </cell>
        </row>
        <row r="160">
          <cell r="A160" t="str">
            <v>8479.82.02</v>
          </cell>
          <cell r="B160" t="str">
            <v>Cubas u otros recipientes provistos de agitadores, incluso con sistemas de vacío o vidriados interiormente, excepto lo comprendido en las fracciones arancelarias 8479.82.01 y 8479.82.05.</v>
          </cell>
          <cell r="C160" t="str">
            <v>Ex.</v>
          </cell>
          <cell r="E160" t="str">
            <v xml:space="preserve">Ex. </v>
          </cell>
        </row>
        <row r="161">
          <cell r="A161" t="str">
            <v>8479.82.04</v>
          </cell>
          <cell r="B161" t="str">
            <v>Agitador-mezclador de hélice, excepto lo comprendido en la fracción arancelaria 8479.82.05.</v>
          </cell>
          <cell r="C161" t="str">
            <v>Ex.</v>
          </cell>
          <cell r="E161" t="str">
            <v xml:space="preserve">Ex. </v>
          </cell>
        </row>
        <row r="162">
          <cell r="A162" t="str">
            <v>8479.89.06</v>
          </cell>
          <cell r="B162" t="str">
            <v>Aparatos neumáticos o hidráulicos para automatizar máquinas, aparatos o artefactos mecánicos.</v>
          </cell>
          <cell r="C162" t="str">
            <v>Ex.</v>
          </cell>
          <cell r="E162" t="str">
            <v xml:space="preserve">Ex. </v>
          </cell>
        </row>
        <row r="163">
          <cell r="A163" t="str">
            <v>8479.89.10</v>
          </cell>
          <cell r="B163" t="str">
            <v>Acumuladores hidráulicos.</v>
          </cell>
          <cell r="C163" t="str">
            <v>Ex.</v>
          </cell>
          <cell r="E163" t="str">
            <v xml:space="preserve">Ex. </v>
          </cell>
        </row>
        <row r="164">
          <cell r="A164" t="str">
            <v>8480.60.99</v>
          </cell>
          <cell r="B164" t="str">
            <v>Los demás.</v>
          </cell>
          <cell r="C164" t="str">
            <v>Ex.</v>
          </cell>
          <cell r="E164" t="str">
            <v xml:space="preserve">Ex. </v>
          </cell>
        </row>
        <row r="165">
          <cell r="A165" t="str">
            <v>8481.80.99</v>
          </cell>
          <cell r="B165" t="str">
            <v>Los demás.</v>
          </cell>
          <cell r="C165" t="str">
            <v>Ex.</v>
          </cell>
          <cell r="E165" t="str">
            <v xml:space="preserve">Ex. </v>
          </cell>
        </row>
        <row r="166">
          <cell r="A166" t="str">
            <v>8483.60.02</v>
          </cell>
          <cell r="B166" t="str">
            <v>Acoplamientos elásticos, acoplamientos de acero forjado con peso unitario superior o igual a 600 kg.</v>
          </cell>
          <cell r="C166" t="str">
            <v>Ex.</v>
          </cell>
          <cell r="E166" t="str">
            <v xml:space="preserve">Ex. </v>
          </cell>
        </row>
        <row r="167">
          <cell r="A167" t="str">
            <v>8483.60.99</v>
          </cell>
          <cell r="B167" t="str">
            <v>Los demás.</v>
          </cell>
          <cell r="C167" t="str">
            <v>Ex.</v>
          </cell>
          <cell r="E167" t="str">
            <v xml:space="preserve">Ex. </v>
          </cell>
        </row>
        <row r="168">
          <cell r="A168" t="str">
            <v>8487.90.01</v>
          </cell>
          <cell r="B168" t="str">
            <v>Cilindros hidráulicos.</v>
          </cell>
          <cell r="C168" t="str">
            <v>Ex.</v>
          </cell>
          <cell r="E168" t="str">
            <v xml:space="preserve">Ex. </v>
          </cell>
        </row>
        <row r="169">
          <cell r="A169" t="str">
            <v>8501.31.05</v>
          </cell>
          <cell r="B169" t="str">
            <v>Motores con potencia superior o igual a 186 W (¼ CP), excepto lo comprendido en las fracciones arancelarias 8501.31.03 y 8501.31.04.</v>
          </cell>
          <cell r="C169" t="str">
            <v>Ex.</v>
          </cell>
          <cell r="E169" t="str">
            <v xml:space="preserve">Ex. </v>
          </cell>
        </row>
        <row r="170">
          <cell r="A170" t="str">
            <v>8501.32.05</v>
          </cell>
          <cell r="B170" t="str">
            <v>Motores de potencia igual o inferior a 3.75 kW (5 CP).</v>
          </cell>
          <cell r="C170" t="str">
            <v>Ex.</v>
          </cell>
          <cell r="E170" t="str">
            <v xml:space="preserve">Ex. </v>
          </cell>
        </row>
        <row r="171">
          <cell r="A171" t="str">
            <v>8501.32.99</v>
          </cell>
          <cell r="B171" t="str">
            <v>Los demás.</v>
          </cell>
          <cell r="C171" t="str">
            <v>Ex.</v>
          </cell>
          <cell r="E171" t="str">
            <v xml:space="preserve">Ex. </v>
          </cell>
        </row>
        <row r="172">
          <cell r="A172" t="str">
            <v>8501.33.99</v>
          </cell>
          <cell r="B172" t="str">
            <v>Los demás.</v>
          </cell>
          <cell r="C172" t="str">
            <v>Ex.</v>
          </cell>
          <cell r="E172" t="str">
            <v xml:space="preserve">Ex. </v>
          </cell>
        </row>
        <row r="173">
          <cell r="A173" t="str">
            <v>8501.51.02</v>
          </cell>
          <cell r="B173" t="str">
            <v>Asíncronos, trifásicos.</v>
          </cell>
          <cell r="C173" t="str">
            <v>Ex.</v>
          </cell>
          <cell r="E173" t="str">
            <v xml:space="preserve">Ex. </v>
          </cell>
        </row>
        <row r="174">
          <cell r="A174" t="str">
            <v>8501.52.04</v>
          </cell>
          <cell r="B174" t="str">
            <v>Asíncronos, trifásicos, excepto los reconocibles para naves aéreas; para trolebuses; para ascensores o elevadores.</v>
          </cell>
          <cell r="C174" t="str">
            <v>Ex.</v>
          </cell>
          <cell r="E174" t="str">
            <v xml:space="preserve">Ex. </v>
          </cell>
        </row>
        <row r="175">
          <cell r="A175" t="str">
            <v>8501.53.04</v>
          </cell>
          <cell r="B175" t="str">
            <v>Asíncronos, trifásicos, con potencia de salida inferior o igual a 8,952 kW (12,000 CP), excepto los reconocibles para naves aéreas; para trolebuses, ascensores o elevadores.</v>
          </cell>
          <cell r="C175" t="str">
            <v>Ex.</v>
          </cell>
          <cell r="E175" t="str">
            <v xml:space="preserve">Ex. </v>
          </cell>
        </row>
        <row r="176">
          <cell r="A176" t="str">
            <v>8501.61.01</v>
          </cell>
          <cell r="B176" t="str">
            <v>De potencia inferior o igual a 75 kVA.</v>
          </cell>
          <cell r="C176" t="str">
            <v>Ex.</v>
          </cell>
          <cell r="E176" t="str">
            <v xml:space="preserve">Ex. </v>
          </cell>
        </row>
        <row r="177">
          <cell r="A177" t="str">
            <v>8501.72.01</v>
          </cell>
          <cell r="B177" t="str">
            <v>De potencia superior a 150 kW pero inferior o igual a 375 kW.</v>
          </cell>
          <cell r="C177" t="str">
            <v>Ex.</v>
          </cell>
          <cell r="E177" t="str">
            <v xml:space="preserve">Ex. </v>
          </cell>
        </row>
        <row r="178">
          <cell r="A178" t="str">
            <v>8501.80.99</v>
          </cell>
          <cell r="B178" t="str">
            <v>Los demás.</v>
          </cell>
          <cell r="C178" t="str">
            <v>Ex.</v>
          </cell>
          <cell r="D178" t="str">
            <v>Únicamente: De potencia inferior o igual a 75 kVA.</v>
          </cell>
          <cell r="E178" t="str">
            <v>Ex. Únicamente: De potencia inferior o igual a 75 kVA.</v>
          </cell>
        </row>
        <row r="179">
          <cell r="A179" t="str">
            <v>8504.40.16</v>
          </cell>
          <cell r="B179" t="str">
            <v>Fuentes de voltaje, con conversión de corriente CA/CC/CA, llamadas "no break" o "uninterruptible power supply" ("UPS"), excepto reguladores automáticos de voltaje y lo comprendido en la fracción arancelaria 8504.40.14.</v>
          </cell>
          <cell r="C179" t="str">
            <v>Ex.</v>
          </cell>
          <cell r="E179" t="str">
            <v xml:space="preserve">Ex. </v>
          </cell>
        </row>
        <row r="180">
          <cell r="A180" t="str">
            <v>8504.40.99</v>
          </cell>
          <cell r="B180" t="str">
            <v>Los demás.</v>
          </cell>
          <cell r="C180" t="str">
            <v>Ex.</v>
          </cell>
          <cell r="E180" t="str">
            <v xml:space="preserve">Ex. </v>
          </cell>
        </row>
        <row r="181">
          <cell r="A181" t="str">
            <v>8507.20.99</v>
          </cell>
          <cell r="B181" t="str">
            <v>Los demás.</v>
          </cell>
          <cell r="C181" t="str">
            <v>Ex.</v>
          </cell>
          <cell r="E181" t="str">
            <v xml:space="preserve">Ex. </v>
          </cell>
        </row>
        <row r="182">
          <cell r="A182" t="str">
            <v>8508.70.99</v>
          </cell>
          <cell r="B182" t="str">
            <v>Las demás.</v>
          </cell>
          <cell r="C182" t="str">
            <v>Ex.</v>
          </cell>
          <cell r="E182" t="str">
            <v xml:space="preserve">Ex. </v>
          </cell>
        </row>
        <row r="183">
          <cell r="A183" t="str">
            <v>8514.19.03</v>
          </cell>
          <cell r="B183" t="str">
            <v>Hornos industriales, excepto lo comprendido en las fracciones arancelarias 8514.19.01, 8514.19.02 y 8514.19.04.</v>
          </cell>
          <cell r="C183" t="str">
            <v>Ex.</v>
          </cell>
          <cell r="E183" t="str">
            <v xml:space="preserve">Ex. </v>
          </cell>
        </row>
        <row r="184">
          <cell r="A184" t="str">
            <v>8514.20.03</v>
          </cell>
          <cell r="B184" t="str">
            <v>Hornos industriales, excepto lo comprendido en las fracciones arancelarias 8514.20.01, 8514.20.02, 8514.20.04 y 8514.20.05.</v>
          </cell>
          <cell r="C184" t="str">
            <v>Ex.</v>
          </cell>
          <cell r="E184" t="str">
            <v xml:space="preserve">Ex. </v>
          </cell>
        </row>
        <row r="185">
          <cell r="A185" t="str">
            <v>8515.11.01</v>
          </cell>
          <cell r="B185" t="str">
            <v>Para soldar o cortar, portátiles ("cautines").</v>
          </cell>
          <cell r="C185" t="str">
            <v>Ex.</v>
          </cell>
          <cell r="E185" t="str">
            <v xml:space="preserve">Ex. </v>
          </cell>
        </row>
        <row r="186">
          <cell r="A186" t="str">
            <v>8515.21.99</v>
          </cell>
          <cell r="B186" t="str">
            <v>Los demás.</v>
          </cell>
          <cell r="C186" t="str">
            <v>Ex.</v>
          </cell>
          <cell r="E186" t="str">
            <v xml:space="preserve">Ex. </v>
          </cell>
        </row>
        <row r="187">
          <cell r="A187" t="str">
            <v>8515.39.01</v>
          </cell>
          <cell r="B187" t="str">
            <v>Para soldar o cortar, de arco, tipo generador o transformador, inferior o igual a 1,260 amperes.</v>
          </cell>
          <cell r="C187" t="str">
            <v>Ex.</v>
          </cell>
          <cell r="E187" t="str">
            <v xml:space="preserve">Ex. </v>
          </cell>
        </row>
        <row r="188">
          <cell r="A188" t="str">
            <v>8526.92.99</v>
          </cell>
          <cell r="B188" t="str">
            <v>Los demás.</v>
          </cell>
          <cell r="C188" t="str">
            <v>Ex.</v>
          </cell>
          <cell r="E188" t="str">
            <v xml:space="preserve">Ex. </v>
          </cell>
        </row>
        <row r="189">
          <cell r="A189" t="str">
            <v>8536.10.04</v>
          </cell>
          <cell r="B189" t="str">
            <v>Corta circuitos de fusible excepto los reconocibles para naves aéreas.</v>
          </cell>
          <cell r="C189" t="str">
            <v>Ex.</v>
          </cell>
          <cell r="E189" t="str">
            <v xml:space="preserve">Ex. </v>
          </cell>
        </row>
        <row r="190">
          <cell r="A190" t="str">
            <v>9004.90.99</v>
          </cell>
          <cell r="B190" t="str">
            <v>Los demás.</v>
          </cell>
          <cell r="C190" t="str">
            <v>Ex.</v>
          </cell>
          <cell r="E190" t="str">
            <v xml:space="preserve">Ex. </v>
          </cell>
        </row>
        <row r="191">
          <cell r="A191" t="str">
            <v>9017.80.99</v>
          </cell>
          <cell r="B191" t="str">
            <v>Los demás.</v>
          </cell>
          <cell r="C191" t="str">
            <v>Ex.</v>
          </cell>
          <cell r="E191" t="str">
            <v xml:space="preserve">Ex. </v>
          </cell>
        </row>
        <row r="192">
          <cell r="A192" t="str">
            <v>9025.11.99</v>
          </cell>
          <cell r="B192" t="str">
            <v>Los demás.</v>
          </cell>
          <cell r="C192" t="str">
            <v>Ex.</v>
          </cell>
          <cell r="E192" t="str">
            <v xml:space="preserve">Ex. </v>
          </cell>
        </row>
        <row r="193">
          <cell r="A193" t="str">
            <v>9025.19.99</v>
          </cell>
          <cell r="B193" t="str">
            <v>Los demás.</v>
          </cell>
          <cell r="C193" t="str">
            <v>Ex.</v>
          </cell>
          <cell r="E193" t="str">
            <v xml:space="preserve">Ex. </v>
          </cell>
        </row>
        <row r="194">
          <cell r="A194" t="str">
            <v>9026.20.04</v>
          </cell>
          <cell r="B194" t="str">
            <v>Reguladores de presión, acoplados a válvulas o manómetros.</v>
          </cell>
          <cell r="C194" t="str">
            <v>Ex.</v>
          </cell>
          <cell r="E194" t="str">
            <v xml:space="preserve">Ex. </v>
          </cell>
        </row>
        <row r="195">
          <cell r="A195" t="str">
            <v>9031.80.07</v>
          </cell>
          <cell r="B195" t="str">
            <v>Niveles.</v>
          </cell>
          <cell r="C195" t="str">
            <v>Ex.</v>
          </cell>
          <cell r="E195" t="str">
            <v xml:space="preserve">Ex. </v>
          </cell>
        </row>
        <row r="196">
          <cell r="A196" t="str">
            <v>9032.10.03</v>
          </cell>
          <cell r="B196" t="str">
            <v>Automáticos para el control de la temperatura del agua, con dispositivos de seguridad para fallas de flama.</v>
          </cell>
          <cell r="C196" t="str">
            <v>Ex.</v>
          </cell>
          <cell r="E196" t="str">
            <v xml:space="preserve">Ex. </v>
          </cell>
        </row>
        <row r="197">
          <cell r="A197" t="str">
            <v>9032.20.01</v>
          </cell>
          <cell r="B197" t="str">
            <v>Manostatos (presostatos).</v>
          </cell>
          <cell r="C197" t="str">
            <v>Ex.</v>
          </cell>
          <cell r="E197" t="str">
            <v xml:space="preserve">Ex. </v>
          </cell>
        </row>
        <row r="198">
          <cell r="A198" t="str">
            <v>9606.10.01</v>
          </cell>
          <cell r="B198" t="str">
            <v>Botones de presión y sus partes.</v>
          </cell>
          <cell r="C198" t="str">
            <v>Ex.</v>
          </cell>
          <cell r="E198" t="str">
            <v xml:space="preserve">Ex. </v>
          </cell>
        </row>
        <row r="199">
          <cell r="A199" t="str">
            <v>9606.21.01</v>
          </cell>
          <cell r="B199" t="str">
            <v>De plástico, sin forrar con materia textil.</v>
          </cell>
          <cell r="C199" t="str">
            <v>Ex.</v>
          </cell>
          <cell r="E199" t="str">
            <v xml:space="preserve">Ex. </v>
          </cell>
        </row>
        <row r="200">
          <cell r="A200" t="str">
            <v>9606.22.01</v>
          </cell>
          <cell r="B200" t="str">
            <v>De metal común, sin forrar con materia textil.</v>
          </cell>
          <cell r="C200" t="str">
            <v>Ex.</v>
          </cell>
          <cell r="E200" t="str">
            <v xml:space="preserve">Ex. </v>
          </cell>
        </row>
        <row r="201">
          <cell r="A201" t="str">
            <v>9606.29.99</v>
          </cell>
          <cell r="B201" t="str">
            <v>Los demás.</v>
          </cell>
          <cell r="C201" t="str">
            <v>Ex.</v>
          </cell>
          <cell r="D201" t="str">
            <v>Excepto: De corozo o de cuero.</v>
          </cell>
          <cell r="E201" t="str">
            <v>Ex. Excepto: De corozo o de cuero.</v>
          </cell>
        </row>
        <row r="202">
          <cell r="A202" t="str">
            <v>9607.11.01</v>
          </cell>
          <cell r="B202" t="str">
            <v>Con dientes de metal común.</v>
          </cell>
          <cell r="C202" t="str">
            <v>Ex.</v>
          </cell>
          <cell r="E202" t="str">
            <v xml:space="preserve">Ex. </v>
          </cell>
        </row>
        <row r="203">
          <cell r="A203" t="str">
            <v>9607.19.99</v>
          </cell>
          <cell r="B203" t="str">
            <v>Los demás.</v>
          </cell>
          <cell r="C203" t="str">
            <v>Ex.</v>
          </cell>
          <cell r="E203" t="str">
            <v xml:space="preserve">Ex. </v>
          </cell>
        </row>
        <row r="204">
          <cell r="A204" t="str">
            <v>9607.20.01</v>
          </cell>
          <cell r="B204" t="str">
            <v>Partes.</v>
          </cell>
          <cell r="C204" t="str">
            <v>Ex.</v>
          </cell>
          <cell r="E204" t="str">
            <v xml:space="preserve">Ex. </v>
          </cell>
        </row>
        <row r="205">
          <cell r="A205" t="str">
            <v>9611.00.99</v>
          </cell>
          <cell r="B205" t="str">
            <v>Los demás.</v>
          </cell>
          <cell r="C205" t="str">
            <v>Ex.</v>
          </cell>
          <cell r="E205" t="str">
            <v xml:space="preserve">Ex. </v>
          </cell>
        </row>
      </sheetData>
      <sheetData sheetId="7">
        <row r="1">
          <cell r="A1" t="str">
            <v>CÓDIGO</v>
          </cell>
          <cell r="B1" t="str">
            <v>DESCRIPCIÓN</v>
          </cell>
          <cell r="C1" t="str">
            <v>ARANCEL</v>
          </cell>
          <cell r="D1" t="str">
            <v>ACOTACIÓN</v>
          </cell>
        </row>
        <row r="2">
          <cell r="C2" t="str">
            <v>(%)</v>
          </cell>
          <cell r="E2" t="str">
            <v>EX/ACO</v>
          </cell>
        </row>
        <row r="3">
          <cell r="A3" t="str">
            <v>3204.17.02</v>
          </cell>
          <cell r="B3" t="str">
            <v>Colorantes pigmentarios: Diarilidas con la siguiente clasificación de "Colour Index": Amarillo: 12, 13, 14, 17, 83; Naranja: 13.</v>
          </cell>
          <cell r="C3" t="str">
            <v>Ex.</v>
          </cell>
          <cell r="E3" t="str">
            <v xml:space="preserve">Ex. </v>
          </cell>
        </row>
        <row r="4">
          <cell r="A4" t="str">
            <v>3204.17.03</v>
          </cell>
          <cell r="B4" t="str">
            <v>Colorantes pigmentarios: Ariles o toluidinas con la siguiente clasificación de "Colour Index": Amarillo: 1, 3, 65, 73, 74, 75; Naranja: 5; Rojo: 3.</v>
          </cell>
          <cell r="C4" t="str">
            <v>Ex.</v>
          </cell>
          <cell r="E4" t="str">
            <v xml:space="preserve">Ex. </v>
          </cell>
        </row>
        <row r="5">
          <cell r="A5" t="str">
            <v>3204.17.04</v>
          </cell>
          <cell r="B5" t="str">
            <v>Colorantes pigmentarios: Naftoles con la siguiente clasificación de "Colour Index": rojo: 2, 8, 112, 146.</v>
          </cell>
          <cell r="C5" t="str">
            <v>Ex.</v>
          </cell>
          <cell r="E5" t="str">
            <v xml:space="preserve">Ex. </v>
          </cell>
        </row>
        <row r="6">
          <cell r="A6" t="str">
            <v>3204.17.05</v>
          </cell>
          <cell r="B6" t="str">
            <v>Colorantes pigmentarios: Laqueados o metalizados con la siguiente clasificación de "Colour Index": Rojo: 48:1, 48:2, 48:3, 48:4, 49:1, 49:2, 52:1, 52:2, 53:1, 57:1, 58:4, 63:1, 63:2.</v>
          </cell>
          <cell r="C6" t="str">
            <v>Ex.</v>
          </cell>
          <cell r="E6" t="str">
            <v xml:space="preserve">Ex. </v>
          </cell>
        </row>
        <row r="7">
          <cell r="A7" t="str">
            <v>3204.17.06</v>
          </cell>
          <cell r="B7" t="str">
            <v>Colorantes pigmentarios: Ftalocianinas con la siguiente clasificación de "Colour Index": Azul: 15, 15:1, 15:2, 15:3, 15:4; Verde: 7, 36.</v>
          </cell>
          <cell r="C7" t="str">
            <v>Ex.</v>
          </cell>
          <cell r="E7" t="str">
            <v xml:space="preserve">Ex. </v>
          </cell>
        </row>
        <row r="8">
          <cell r="A8" t="str">
            <v>3204.17.07</v>
          </cell>
          <cell r="B8" t="str">
            <v>Colorantes pigmentarios: básicos precipitados con la siguiente clasificación de "Colour Index": Violeta: 1, 3; Rojo: 81.</v>
          </cell>
          <cell r="C8" t="str">
            <v>Ex.</v>
          </cell>
          <cell r="E8" t="str">
            <v xml:space="preserve">Ex. </v>
          </cell>
        </row>
        <row r="9">
          <cell r="A9" t="str">
            <v>3204.17.08</v>
          </cell>
          <cell r="B9" t="str">
            <v>Pigmentos, excepto lo comprendido en las fracciones arancelarias 3204.17.01, 3204.17.02, 3204.17.03, 3204.17.04, 3204.17.05, 3204.17.06 y 3204.17.07.</v>
          </cell>
          <cell r="C9" t="str">
            <v>Ex.</v>
          </cell>
          <cell r="E9" t="str">
            <v xml:space="preserve">Ex. </v>
          </cell>
        </row>
        <row r="10">
          <cell r="A10" t="str">
            <v>3208.20.03</v>
          </cell>
          <cell r="B10" t="str">
            <v>A base de polímeros acrílicos o vinílicos.</v>
          </cell>
          <cell r="C10" t="str">
            <v>Ex.</v>
          </cell>
          <cell r="D10" t="str">
            <v>Únicamente: Pinturas o barnices, excepto los barnices a base de resinas catiónicas de dimetilaminoetilmetacrilato o a base de resinas aniónicas del ácido metacrílico reaccionadas con ésteres del ácido metacrílico.</v>
          </cell>
          <cell r="E10" t="str">
            <v>Ex. Únicamente: Pinturas o barnices, excepto los barnices a base de resinas catiónicas de dimetilaminoetilmetacrilato o a base de resinas aniónicas del ácido metacrílico reaccionadas con ésteres del ácido metacrílico.</v>
          </cell>
        </row>
        <row r="11">
          <cell r="A11" t="str">
            <v>3402.50.04</v>
          </cell>
          <cell r="B11" t="str">
            <v>Mezclas (limpiadoras, humectantes o emulsificantes) o preparaciones de productos orgánicos sulfonados, adicionadas de carbonatos, hidróxido o fosfatos de potasio o de sodio.</v>
          </cell>
          <cell r="C11" t="str">
            <v>Ex.</v>
          </cell>
          <cell r="E11" t="str">
            <v xml:space="preserve">Ex. </v>
          </cell>
        </row>
        <row r="12">
          <cell r="A12" t="str">
            <v>3405.90.01</v>
          </cell>
          <cell r="B12" t="str">
            <v>Lustres para metal.</v>
          </cell>
          <cell r="C12" t="str">
            <v>Ex.</v>
          </cell>
          <cell r="E12" t="str">
            <v xml:space="preserve">Ex. </v>
          </cell>
        </row>
        <row r="13">
          <cell r="A13" t="str">
            <v>3405.90.99</v>
          </cell>
          <cell r="B13" t="str">
            <v>Las demás.</v>
          </cell>
          <cell r="C13" t="str">
            <v>Ex.</v>
          </cell>
          <cell r="E13" t="str">
            <v xml:space="preserve">Ex. </v>
          </cell>
        </row>
        <row r="14">
          <cell r="A14" t="str">
            <v>3814.00.01</v>
          </cell>
          <cell r="B14" t="str">
            <v>Disolventes y diluyentes orgánicos compuestos, no expresados ni comprendidos en otra parte; preparaciones para quitar pinturas o barnices.</v>
          </cell>
          <cell r="C14" t="str">
            <v>Ex.</v>
          </cell>
          <cell r="E14" t="str">
            <v xml:space="preserve">Ex. </v>
          </cell>
        </row>
        <row r="15">
          <cell r="A15" t="str">
            <v>3903.90.99</v>
          </cell>
          <cell r="B15" t="str">
            <v>Los demás.</v>
          </cell>
          <cell r="C15" t="str">
            <v>Ex.</v>
          </cell>
          <cell r="D15" t="str">
            <v>Únicamente: Copolímeros elastoméricos termoplásticos.</v>
          </cell>
          <cell r="E15" t="str">
            <v>Ex. Únicamente: Copolímeros elastoméricos termoplásticos.</v>
          </cell>
        </row>
        <row r="16">
          <cell r="A16" t="str">
            <v>3907.30.99</v>
          </cell>
          <cell r="B16" t="str">
            <v>Los demás.</v>
          </cell>
          <cell r="C16" t="str">
            <v>Ex.</v>
          </cell>
          <cell r="D16" t="str">
            <v xml:space="preserve">Excepto: Resinas epóxidas. </v>
          </cell>
          <cell r="E16" t="str">
            <v xml:space="preserve">Ex. Excepto: Resinas epóxidas. </v>
          </cell>
        </row>
        <row r="17">
          <cell r="A17" t="str">
            <v>3907.91.99</v>
          </cell>
          <cell r="B17" t="str">
            <v>Los demás.</v>
          </cell>
          <cell r="C17" t="str">
            <v>Ex.</v>
          </cell>
          <cell r="E17" t="str">
            <v xml:space="preserve">Ex. </v>
          </cell>
        </row>
        <row r="18">
          <cell r="A18" t="str">
            <v>3908.10.05</v>
          </cell>
          <cell r="B18" t="str">
            <v>Poliamidas o superpoliamidas, excepto lo comprendido en las fracciones arancelarias 3908.10.01 a la 3908.10.04, 3908.10.06, 3908.10.07 y 3908.10.08.</v>
          </cell>
          <cell r="C18" t="str">
            <v>Ex.</v>
          </cell>
          <cell r="E18" t="str">
            <v xml:space="preserve">Ex. </v>
          </cell>
        </row>
        <row r="19">
          <cell r="A19" t="str">
            <v>3910.00.99</v>
          </cell>
          <cell r="B19" t="str">
            <v>Los demás.</v>
          </cell>
          <cell r="C19" t="str">
            <v>Ex.</v>
          </cell>
          <cell r="E19" t="str">
            <v xml:space="preserve">Ex. </v>
          </cell>
        </row>
        <row r="20">
          <cell r="A20" t="str">
            <v>3917.33.99</v>
          </cell>
          <cell r="B20" t="str">
            <v>Los demás.</v>
          </cell>
          <cell r="C20" t="str">
            <v>Ex.</v>
          </cell>
          <cell r="E20" t="str">
            <v xml:space="preserve">Ex. </v>
          </cell>
        </row>
        <row r="21">
          <cell r="A21" t="str">
            <v>3918.10.02</v>
          </cell>
          <cell r="B21" t="str">
            <v>De polímeros de cloruro de vinilo.</v>
          </cell>
          <cell r="C21" t="str">
            <v>Ex.</v>
          </cell>
          <cell r="D21" t="str">
            <v xml:space="preserve">Excepto: Baldosas (losetas) vinílicas, para recubrimientos en pisos. </v>
          </cell>
          <cell r="E21" t="str">
            <v xml:space="preserve">Ex. Excepto: Baldosas (losetas) vinílicas, para recubrimientos en pisos. </v>
          </cell>
        </row>
        <row r="22">
          <cell r="A22" t="str">
            <v>3918.90.91</v>
          </cell>
          <cell r="B22" t="str">
            <v>De los demás plásticos.</v>
          </cell>
          <cell r="C22" t="str">
            <v>Ex.</v>
          </cell>
          <cell r="E22" t="str">
            <v xml:space="preserve">Ex. </v>
          </cell>
        </row>
        <row r="23">
          <cell r="A23" t="str">
            <v>3921.11.01</v>
          </cell>
          <cell r="B23" t="str">
            <v>De polímeros de estireno.</v>
          </cell>
          <cell r="C23" t="str">
            <v>Ex.</v>
          </cell>
          <cell r="E23" t="str">
            <v xml:space="preserve">Ex. </v>
          </cell>
        </row>
        <row r="24">
          <cell r="A24" t="str">
            <v>3923.10.03</v>
          </cell>
          <cell r="B24" t="str">
            <v>Cajas, cajones, jaulas y artículos similares.</v>
          </cell>
          <cell r="C24" t="str">
            <v>Ex.</v>
          </cell>
          <cell r="E24" t="str">
            <v xml:space="preserve">Ex. </v>
          </cell>
        </row>
        <row r="25">
          <cell r="A25" t="str">
            <v>3923.30.02</v>
          </cell>
          <cell r="B25" t="str">
            <v>Bombonas (damajuanas), botellas, frascos y artículos similares.</v>
          </cell>
          <cell r="C25" t="str">
            <v>Ex.</v>
          </cell>
          <cell r="D25" t="str">
            <v>Excepto: Tanques o recipientes con capacidad superior o igual a 3.5 l.</v>
          </cell>
          <cell r="E25" t="str">
            <v>Ex. Excepto: Tanques o recipientes con capacidad superior o igual a 3.5 l.</v>
          </cell>
        </row>
        <row r="26">
          <cell r="A26" t="str">
            <v>3923.50.01</v>
          </cell>
          <cell r="B26" t="str">
            <v>Tapones, tapas, cápsulas y demás dispositivos de cierre.</v>
          </cell>
          <cell r="C26" t="str">
            <v>Ex.</v>
          </cell>
          <cell r="E26" t="str">
            <v xml:space="preserve">Ex. </v>
          </cell>
        </row>
        <row r="27">
          <cell r="A27" t="str">
            <v>3923.90.99</v>
          </cell>
          <cell r="B27" t="str">
            <v>Los demás.</v>
          </cell>
          <cell r="C27" t="str">
            <v>Ex.</v>
          </cell>
          <cell r="E27" t="str">
            <v xml:space="preserve">Ex. </v>
          </cell>
        </row>
        <row r="28">
          <cell r="A28" t="str">
            <v>3924.10.01</v>
          </cell>
          <cell r="B28" t="str">
            <v>Vajilla y demás artículos para el servicio de mesa o de cocina.</v>
          </cell>
          <cell r="C28" t="str">
            <v>Ex.</v>
          </cell>
          <cell r="E28" t="str">
            <v xml:space="preserve">Ex. </v>
          </cell>
        </row>
        <row r="29">
          <cell r="A29" t="str">
            <v>3926.20.99</v>
          </cell>
          <cell r="B29" t="str">
            <v>Los demás.</v>
          </cell>
          <cell r="C29" t="str">
            <v>Ex.</v>
          </cell>
          <cell r="D29" t="str">
            <v>Excepto: Ballenas para corsés, para prendas de vestir o para accesorios del vestido y análogos.</v>
          </cell>
          <cell r="E29" t="str">
            <v>Ex. Excepto: Ballenas para corsés, para prendas de vestir o para accesorios del vestido y análogos.</v>
          </cell>
        </row>
        <row r="30">
          <cell r="A30" t="str">
            <v>3926.30.02</v>
          </cell>
          <cell r="B30" t="str">
            <v>Guarniciones para muebles, carrocerías o similares.</v>
          </cell>
          <cell r="C30" t="str">
            <v>Ex.</v>
          </cell>
          <cell r="D30" t="str">
            <v xml:space="preserve">Excepto: Molduras para carrocerías. </v>
          </cell>
          <cell r="E30" t="str">
            <v xml:space="preserve">Ex. Excepto: Molduras para carrocerías. </v>
          </cell>
        </row>
        <row r="31">
          <cell r="A31" t="str">
            <v>3926.40.01</v>
          </cell>
          <cell r="B31" t="str">
            <v>Estatuillas y demás artículos de adorno.</v>
          </cell>
          <cell r="C31" t="str">
            <v>Ex.</v>
          </cell>
          <cell r="E31" t="str">
            <v xml:space="preserve">Ex. </v>
          </cell>
        </row>
        <row r="32">
          <cell r="A32" t="str">
            <v>3926.90.01</v>
          </cell>
          <cell r="B32" t="str">
            <v>Mangos para herramientas de mano.</v>
          </cell>
          <cell r="C32" t="str">
            <v>Ex.</v>
          </cell>
          <cell r="E32" t="str">
            <v xml:space="preserve">Ex. </v>
          </cell>
        </row>
        <row r="33">
          <cell r="A33" t="str">
            <v>3926.90.07</v>
          </cell>
          <cell r="B33" t="str">
            <v>Modelos o patrones.</v>
          </cell>
          <cell r="C33" t="str">
            <v>Ex.</v>
          </cell>
          <cell r="E33" t="str">
            <v xml:space="preserve">Ex. </v>
          </cell>
        </row>
        <row r="34">
          <cell r="A34" t="str">
            <v>3926.90.13</v>
          </cell>
          <cell r="B34" t="str">
            <v>Letras, números o signos.</v>
          </cell>
          <cell r="C34" t="str">
            <v>Ex.</v>
          </cell>
          <cell r="E34" t="str">
            <v xml:space="preserve">Ex. </v>
          </cell>
        </row>
        <row r="35">
          <cell r="A35" t="str">
            <v>3926.90.14</v>
          </cell>
          <cell r="B35" t="str">
            <v>Cinchos fijadores o abrazaderas, excepto lo reconocible como diseñados exclusivamente para uso automotriz.</v>
          </cell>
          <cell r="C35" t="str">
            <v>Ex.</v>
          </cell>
          <cell r="E35" t="str">
            <v xml:space="preserve">Ex. </v>
          </cell>
        </row>
        <row r="36">
          <cell r="A36" t="str">
            <v>3926.90.20</v>
          </cell>
          <cell r="B36" t="str">
            <v>Emblemas, para vehículos automóviles.</v>
          </cell>
          <cell r="C36" t="str">
            <v>Ex.</v>
          </cell>
          <cell r="E36" t="str">
            <v xml:space="preserve">Ex. </v>
          </cell>
        </row>
        <row r="37">
          <cell r="A37" t="str">
            <v>4015.12.99</v>
          </cell>
          <cell r="B37" t="str">
            <v>Los demás.</v>
          </cell>
          <cell r="C37" t="str">
            <v>Ex.</v>
          </cell>
          <cell r="D37" t="str">
            <v xml:space="preserve"> </v>
          </cell>
          <cell r="E37" t="str">
            <v xml:space="preserve">Ex.  </v>
          </cell>
        </row>
        <row r="38">
          <cell r="A38" t="str">
            <v>4015.19.99</v>
          </cell>
          <cell r="B38" t="str">
            <v>Los demás.</v>
          </cell>
          <cell r="C38" t="str">
            <v>Ex.</v>
          </cell>
          <cell r="D38" t="str">
            <v xml:space="preserve"> </v>
          </cell>
          <cell r="E38" t="str">
            <v xml:space="preserve">Ex.  </v>
          </cell>
        </row>
        <row r="39">
          <cell r="A39" t="str">
            <v>4015.90.99</v>
          </cell>
          <cell r="B39" t="str">
            <v>Los demás.</v>
          </cell>
          <cell r="C39" t="str">
            <v>Ex.</v>
          </cell>
          <cell r="D39" t="str">
            <v>Excepto: Trajes para bucear (de buzo).</v>
          </cell>
          <cell r="E39" t="str">
            <v>Ex. Excepto: Trajes para bucear (de buzo).</v>
          </cell>
        </row>
        <row r="40">
          <cell r="A40" t="str">
            <v>4016.99.04</v>
          </cell>
          <cell r="B40" t="str">
            <v>Dedales.</v>
          </cell>
          <cell r="C40" t="str">
            <v>Ex.</v>
          </cell>
          <cell r="E40" t="str">
            <v xml:space="preserve">Ex. </v>
          </cell>
        </row>
        <row r="41">
          <cell r="A41" t="str">
            <v>4203.29.99</v>
          </cell>
          <cell r="B41" t="str">
            <v>Los demás.</v>
          </cell>
          <cell r="C41" t="str">
            <v>Ex.</v>
          </cell>
          <cell r="E41" t="str">
            <v xml:space="preserve">Ex. </v>
          </cell>
        </row>
        <row r="42">
          <cell r="A42" t="str">
            <v>4421.91.99</v>
          </cell>
          <cell r="B42" t="str">
            <v>Los demás.</v>
          </cell>
          <cell r="C42" t="str">
            <v>Ex.</v>
          </cell>
          <cell r="D42" t="str">
            <v>Excepto: Adoquines.</v>
          </cell>
          <cell r="E42" t="str">
            <v>Ex. Excepto: Adoquines.</v>
          </cell>
        </row>
        <row r="43">
          <cell r="A43" t="str">
            <v>4421.99.99</v>
          </cell>
          <cell r="B43" t="str">
            <v>Las demás.</v>
          </cell>
          <cell r="C43" t="str">
            <v>Ex.</v>
          </cell>
          <cell r="D43" t="str">
            <v>Excepto: Adoquines.</v>
          </cell>
          <cell r="E43" t="str">
            <v>Ex. Excepto: Adoquines.</v>
          </cell>
        </row>
        <row r="44">
          <cell r="A44" t="str">
            <v>4602.11.01</v>
          </cell>
          <cell r="B44" t="str">
            <v>De bambú.</v>
          </cell>
          <cell r="C44" t="str">
            <v>Ex.</v>
          </cell>
          <cell r="E44" t="str">
            <v xml:space="preserve">Ex. </v>
          </cell>
        </row>
        <row r="45">
          <cell r="A45" t="str">
            <v>4602.19.99</v>
          </cell>
          <cell r="B45" t="str">
            <v>Los demás.</v>
          </cell>
          <cell r="C45" t="str">
            <v>Ex.</v>
          </cell>
          <cell r="E45" t="str">
            <v xml:space="preserve">Ex. </v>
          </cell>
        </row>
        <row r="46">
          <cell r="A46" t="str">
            <v>5806.39.99</v>
          </cell>
          <cell r="B46" t="str">
            <v>Las demás.</v>
          </cell>
          <cell r="C46" t="str">
            <v>Ex.</v>
          </cell>
          <cell r="E46" t="str">
            <v xml:space="preserve">Ex. </v>
          </cell>
        </row>
        <row r="47">
          <cell r="A47" t="str">
            <v>5906.91.02</v>
          </cell>
          <cell r="B47" t="str">
            <v>De punto.</v>
          </cell>
          <cell r="C47" t="str">
            <v>Ex.</v>
          </cell>
          <cell r="D47" t="str">
            <v>Únicamente: De fibras sintéticas cauchutadas con neopreno, de peso inferior o igual a 1,500 g/m², para la fabricación de prendas deportivas.</v>
          </cell>
          <cell r="E47" t="str">
            <v>Ex. Únicamente: De fibras sintéticas cauchutadas con neopreno, de peso inferior o igual a 1,500 g/m², para la fabricación de prendas deportivas.</v>
          </cell>
        </row>
        <row r="48">
          <cell r="A48" t="str">
            <v>6702.10.01</v>
          </cell>
          <cell r="B48" t="str">
            <v>De plástico.</v>
          </cell>
          <cell r="C48" t="str">
            <v>Ex.</v>
          </cell>
          <cell r="E48" t="str">
            <v xml:space="preserve">Ex. </v>
          </cell>
        </row>
        <row r="49">
          <cell r="A49" t="str">
            <v>6804.30.01</v>
          </cell>
          <cell r="B49" t="str">
            <v>Piedras de afilar o pulir a mano.</v>
          </cell>
          <cell r="C49" t="str">
            <v>Ex.</v>
          </cell>
          <cell r="E49" t="str">
            <v xml:space="preserve">Ex. </v>
          </cell>
        </row>
        <row r="50">
          <cell r="A50" t="str">
            <v>6805.10.01</v>
          </cell>
          <cell r="B50" t="str">
            <v>Con soporte constituido solamente por tejido de materia textil.</v>
          </cell>
          <cell r="C50" t="str">
            <v>Ex.</v>
          </cell>
          <cell r="D50" t="str">
            <v xml:space="preserve">Excepto: De anchura superior a 1800 mm. </v>
          </cell>
          <cell r="E50" t="str">
            <v xml:space="preserve">Ex. Excepto: De anchura superior a 1800 mm. </v>
          </cell>
        </row>
        <row r="51">
          <cell r="A51" t="str">
            <v>6805.20.01</v>
          </cell>
          <cell r="B51" t="str">
            <v>Con soporte constituido solamente por papel o cartón.</v>
          </cell>
          <cell r="C51" t="str">
            <v>Ex.</v>
          </cell>
          <cell r="E51" t="str">
            <v xml:space="preserve">Ex. </v>
          </cell>
        </row>
        <row r="52">
          <cell r="A52" t="str">
            <v>6805.30.01</v>
          </cell>
          <cell r="B52" t="str">
            <v>Con soporte de otras materias.</v>
          </cell>
          <cell r="C52" t="str">
            <v>Ex.</v>
          </cell>
          <cell r="E52" t="str">
            <v xml:space="preserve">Ex. </v>
          </cell>
        </row>
        <row r="53">
          <cell r="A53" t="str">
            <v>7009.92.01</v>
          </cell>
          <cell r="B53" t="str">
            <v>Enmarcados.</v>
          </cell>
          <cell r="C53" t="str">
            <v>Ex.</v>
          </cell>
          <cell r="E53" t="str">
            <v xml:space="preserve">Ex. </v>
          </cell>
        </row>
        <row r="54">
          <cell r="A54" t="str">
            <v>7117.19.99</v>
          </cell>
          <cell r="B54" t="str">
            <v>Las demás.</v>
          </cell>
          <cell r="C54" t="str">
            <v>Ex.</v>
          </cell>
          <cell r="E54" t="str">
            <v xml:space="preserve">Ex. </v>
          </cell>
        </row>
        <row r="55">
          <cell r="A55" t="str">
            <v>7317.00.99</v>
          </cell>
          <cell r="B55" t="str">
            <v>Los demás.</v>
          </cell>
          <cell r="C55" t="str">
            <v>Ex.</v>
          </cell>
          <cell r="E55" t="str">
            <v xml:space="preserve">Ex. </v>
          </cell>
        </row>
        <row r="56">
          <cell r="A56" t="str">
            <v>7319.90.99</v>
          </cell>
          <cell r="B56" t="str">
            <v>Los demás.</v>
          </cell>
          <cell r="C56" t="str">
            <v>Ex.</v>
          </cell>
          <cell r="E56" t="str">
            <v xml:space="preserve">Ex. </v>
          </cell>
        </row>
        <row r="57">
          <cell r="A57" t="str">
            <v>7323.10.01</v>
          </cell>
          <cell r="B57" t="str">
            <v>Lana de hierro o acero; esponjas, estropajos, guantes y artículos similares para fregar, lustrar o usos análogos.</v>
          </cell>
          <cell r="C57" t="str">
            <v>Ex.</v>
          </cell>
          <cell r="E57" t="str">
            <v xml:space="preserve">Ex. </v>
          </cell>
        </row>
        <row r="58">
          <cell r="A58" t="str">
            <v>7419.80.02</v>
          </cell>
          <cell r="B58" t="str">
            <v>Terminales para cables.</v>
          </cell>
          <cell r="C58" t="str">
            <v>Ex.</v>
          </cell>
          <cell r="E58" t="str">
            <v xml:space="preserve">Ex. </v>
          </cell>
        </row>
        <row r="59">
          <cell r="A59" t="str">
            <v>7616.10.99</v>
          </cell>
          <cell r="B59" t="str">
            <v>Los demás.</v>
          </cell>
          <cell r="C59" t="str">
            <v>Ex.</v>
          </cell>
          <cell r="E59" t="str">
            <v xml:space="preserve">Ex. </v>
          </cell>
        </row>
        <row r="60">
          <cell r="A60" t="str">
            <v>7616.99.99</v>
          </cell>
          <cell r="B60" t="str">
            <v>Las demás.</v>
          </cell>
          <cell r="C60" t="str">
            <v>Ex.</v>
          </cell>
          <cell r="E60" t="str">
            <v xml:space="preserve">Ex. </v>
          </cell>
        </row>
        <row r="61">
          <cell r="A61" t="str">
            <v>8007.00.99</v>
          </cell>
          <cell r="B61" t="str">
            <v>Las demás.</v>
          </cell>
          <cell r="C61" t="str">
            <v>Ex.</v>
          </cell>
          <cell r="E61" t="str">
            <v xml:space="preserve">Ex. </v>
          </cell>
        </row>
        <row r="62">
          <cell r="A62" t="str">
            <v>8202.10.99</v>
          </cell>
          <cell r="B62" t="str">
            <v>Los demás.</v>
          </cell>
          <cell r="C62" t="str">
            <v>Ex.</v>
          </cell>
          <cell r="E62" t="str">
            <v xml:space="preserve">Ex. </v>
          </cell>
        </row>
        <row r="63">
          <cell r="A63" t="str">
            <v>8202.31.01</v>
          </cell>
          <cell r="B63" t="str">
            <v>Con diámetro exterior inferior o igual a 800 mm.</v>
          </cell>
          <cell r="C63" t="str">
            <v>Ex.</v>
          </cell>
          <cell r="E63" t="str">
            <v xml:space="preserve">Ex. </v>
          </cell>
        </row>
        <row r="64">
          <cell r="A64" t="str">
            <v>8202.39.01</v>
          </cell>
          <cell r="B64" t="str">
            <v>Con diámetro inferior o igual a 800 mm, excepto lo comprendido en la fracción arancelaria 8202.39.02.</v>
          </cell>
          <cell r="C64" t="str">
            <v>Ex.</v>
          </cell>
          <cell r="E64" t="str">
            <v xml:space="preserve">Ex. </v>
          </cell>
        </row>
        <row r="65">
          <cell r="A65" t="str">
            <v>8203.10.99</v>
          </cell>
          <cell r="B65" t="str">
            <v>Las demás.</v>
          </cell>
          <cell r="C65" t="str">
            <v>Ex.</v>
          </cell>
          <cell r="D65" t="str">
            <v>Únicamente: Limas, con peso inferior o igual a 22 g.</v>
          </cell>
          <cell r="E65" t="str">
            <v>Ex. Únicamente: Limas, con peso inferior o igual a 22 g.</v>
          </cell>
        </row>
        <row r="66">
          <cell r="A66" t="str">
            <v>8203.20.99</v>
          </cell>
          <cell r="B66" t="str">
            <v>Los demás.</v>
          </cell>
          <cell r="C66" t="str">
            <v>Ex.</v>
          </cell>
          <cell r="E66" t="str">
            <v xml:space="preserve">Ex. </v>
          </cell>
        </row>
        <row r="67">
          <cell r="A67" t="str">
            <v>8204.11.99</v>
          </cell>
          <cell r="B67" t="str">
            <v>Los demás.</v>
          </cell>
          <cell r="C67" t="str">
            <v>Ex.</v>
          </cell>
          <cell r="E67" t="str">
            <v xml:space="preserve">Ex. </v>
          </cell>
        </row>
        <row r="68">
          <cell r="A68" t="str">
            <v>8204.12.99</v>
          </cell>
          <cell r="B68" t="str">
            <v>Los demás.</v>
          </cell>
          <cell r="C68" t="str">
            <v>Ex.</v>
          </cell>
          <cell r="E68" t="str">
            <v xml:space="preserve">Ex. </v>
          </cell>
        </row>
        <row r="69">
          <cell r="A69" t="str">
            <v>8204.20.01</v>
          </cell>
          <cell r="B69" t="str">
            <v>Con mango.</v>
          </cell>
          <cell r="C69" t="str">
            <v>Ex.</v>
          </cell>
          <cell r="E69" t="str">
            <v xml:space="preserve">Ex. </v>
          </cell>
        </row>
        <row r="70">
          <cell r="A70" t="str">
            <v>8204.20.99</v>
          </cell>
          <cell r="B70" t="str">
            <v>Los demás.</v>
          </cell>
          <cell r="C70" t="str">
            <v>Ex.</v>
          </cell>
          <cell r="E70" t="str">
            <v xml:space="preserve">Ex. </v>
          </cell>
        </row>
        <row r="71">
          <cell r="A71" t="str">
            <v>8205.10.99</v>
          </cell>
          <cell r="B71" t="str">
            <v>Las demás.</v>
          </cell>
          <cell r="C71" t="str">
            <v>Ex.</v>
          </cell>
          <cell r="D71" t="str">
            <v>Únicamente: Manerales para aterrajar, aun cuando se presenten con sus dados (terrajas).</v>
          </cell>
          <cell r="E71" t="str">
            <v>Ex. Únicamente: Manerales para aterrajar, aun cuando se presenten con sus dados (terrajas).</v>
          </cell>
        </row>
        <row r="72">
          <cell r="A72" t="str">
            <v>8205.20.01</v>
          </cell>
          <cell r="B72" t="str">
            <v>Martillos y mazas.</v>
          </cell>
          <cell r="C72" t="str">
            <v>Ex.</v>
          </cell>
          <cell r="E72" t="str">
            <v xml:space="preserve">Ex. </v>
          </cell>
        </row>
        <row r="73">
          <cell r="A73" t="str">
            <v>8205.40.99</v>
          </cell>
          <cell r="B73" t="str">
            <v>Los demás.</v>
          </cell>
          <cell r="C73" t="str">
            <v>Ex.</v>
          </cell>
          <cell r="E73" t="str">
            <v xml:space="preserve">Ex. </v>
          </cell>
        </row>
        <row r="74">
          <cell r="A74" t="str">
            <v>8205.59.99</v>
          </cell>
          <cell r="B74" t="str">
            <v>Las demás.</v>
          </cell>
          <cell r="C74" t="str">
            <v>Ex.</v>
          </cell>
          <cell r="D74" t="str">
            <v>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ell>
          <cell r="E74" t="str">
            <v>Ex. 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ell>
        </row>
        <row r="75">
          <cell r="A75" t="str">
            <v>8205.70.99</v>
          </cell>
          <cell r="B75" t="str">
            <v>Los demás.</v>
          </cell>
          <cell r="C75" t="str">
            <v>Ex.</v>
          </cell>
          <cell r="E75" t="str">
            <v xml:space="preserve">Ex. </v>
          </cell>
        </row>
        <row r="76">
          <cell r="A76" t="str">
            <v>8206.00.01</v>
          </cell>
          <cell r="B76" t="str">
            <v>Herramientas de dos o más de las partidas 82.02 a 82.05, acondicionadas en juegos para la venta al por menor.</v>
          </cell>
          <cell r="C76" t="str">
            <v>Ex.</v>
          </cell>
          <cell r="E76" t="str">
            <v xml:space="preserve">Ex. </v>
          </cell>
        </row>
        <row r="77">
          <cell r="A77" t="str">
            <v>8211.92.99</v>
          </cell>
          <cell r="B77" t="str">
            <v>Los demás.</v>
          </cell>
          <cell r="C77" t="str">
            <v>Ex.</v>
          </cell>
          <cell r="E77" t="str">
            <v xml:space="preserve">Ex. </v>
          </cell>
        </row>
        <row r="78">
          <cell r="A78" t="str">
            <v>8211.94.01</v>
          </cell>
          <cell r="B78" t="str">
            <v>Hojas.</v>
          </cell>
          <cell r="C78" t="str">
            <v>Ex.</v>
          </cell>
          <cell r="E78" t="str">
            <v xml:space="preserve">Ex. </v>
          </cell>
        </row>
        <row r="79">
          <cell r="A79" t="str">
            <v>8212.10.99</v>
          </cell>
          <cell r="B79" t="str">
            <v>Las demás.</v>
          </cell>
          <cell r="C79" t="str">
            <v>Ex.</v>
          </cell>
          <cell r="E79" t="str">
            <v xml:space="preserve">Ex. </v>
          </cell>
        </row>
        <row r="80">
          <cell r="A80" t="str">
            <v>8214.10.02</v>
          </cell>
          <cell r="B80" t="str">
            <v>Cortapapeles, abrecartas, raspadores, sacapuntas y sus cuchillas.</v>
          </cell>
          <cell r="C80" t="str">
            <v>Ex.</v>
          </cell>
          <cell r="D80" t="str">
            <v xml:space="preserve">Excepto: Sacapuntas. </v>
          </cell>
          <cell r="E80" t="str">
            <v xml:space="preserve">Ex. Excepto: Sacapuntas. </v>
          </cell>
        </row>
        <row r="81">
          <cell r="A81" t="str">
            <v>8301.10.01</v>
          </cell>
          <cell r="B81" t="str">
            <v>Candados.</v>
          </cell>
          <cell r="C81" t="str">
            <v>Ex.</v>
          </cell>
          <cell r="E81" t="str">
            <v xml:space="preserve">Ex. </v>
          </cell>
        </row>
        <row r="82">
          <cell r="A82" t="str">
            <v>8302.10.99</v>
          </cell>
          <cell r="B82" t="str">
            <v>Los demás.</v>
          </cell>
          <cell r="C82" t="str">
            <v>Ex.</v>
          </cell>
          <cell r="E82" t="str">
            <v xml:space="preserve">Ex. </v>
          </cell>
        </row>
        <row r="83">
          <cell r="A83" t="str">
            <v>8304.00.03</v>
          </cell>
          <cell r="B83" t="str">
            <v>Clasificadores, ficheros, cajas de clasificación, bandejas de correspondencia, plumeros (vasos o cajas para plumas de escribir), portasellos y material similar de oficina, de metal común, excepto los muebles de oficina de la partida 94.03.</v>
          </cell>
          <cell r="C83" t="str">
            <v>Ex.</v>
          </cell>
          <cell r="D83" t="str">
            <v>Excepto: Porta papel movible y graduable, para copia directa del mecanógrafo y ficheros de índice visible.</v>
          </cell>
          <cell r="E83" t="str">
            <v>Ex. Excepto: Porta papel movible y graduable, para copia directa del mecanógrafo y ficheros de índice visible.</v>
          </cell>
        </row>
        <row r="84">
          <cell r="A84" t="str">
            <v>8305.20.01</v>
          </cell>
          <cell r="B84" t="str">
            <v>Grapas en tiras.</v>
          </cell>
          <cell r="C84" t="str">
            <v>Ex.</v>
          </cell>
          <cell r="E84" t="str">
            <v xml:space="preserve">Ex. </v>
          </cell>
        </row>
        <row r="85">
          <cell r="A85" t="str">
            <v>8306.10.01</v>
          </cell>
          <cell r="B85" t="str">
            <v>Campanas, campanillas, gongos y artículos similares.</v>
          </cell>
          <cell r="C85" t="str">
            <v>Ex.</v>
          </cell>
          <cell r="E85" t="str">
            <v xml:space="preserve">Ex. </v>
          </cell>
        </row>
        <row r="86">
          <cell r="A86" t="str">
            <v>8308.10.99</v>
          </cell>
          <cell r="B86" t="str">
            <v>Los demás.</v>
          </cell>
          <cell r="C86" t="str">
            <v>Ex.</v>
          </cell>
          <cell r="E86" t="str">
            <v xml:space="preserve">Ex. </v>
          </cell>
        </row>
        <row r="87">
          <cell r="A87" t="str">
            <v>8308.20.01</v>
          </cell>
          <cell r="B87" t="str">
            <v>Remaches tubulares o con espiga hendida.</v>
          </cell>
          <cell r="C87" t="str">
            <v>Ex.</v>
          </cell>
          <cell r="E87" t="str">
            <v xml:space="preserve">Ex. </v>
          </cell>
        </row>
        <row r="88">
          <cell r="A88" t="str">
            <v>8309.90.99</v>
          </cell>
          <cell r="B88" t="str">
            <v>Los demás.</v>
          </cell>
          <cell r="C88" t="str">
            <v>Ex.</v>
          </cell>
          <cell r="D88" t="str">
            <v xml:space="preserve">Únicamente: Sellos o precintos. </v>
          </cell>
          <cell r="E88" t="str">
            <v xml:space="preserve">Ex. Únicamente: Sellos o precintos. </v>
          </cell>
        </row>
        <row r="89">
          <cell r="A89" t="str">
            <v>8310.00.01</v>
          </cell>
          <cell r="B89" t="str">
            <v>Emblemas o monogramas para vehículos automóviles.</v>
          </cell>
          <cell r="C89" t="str">
            <v>Ex.</v>
          </cell>
          <cell r="E89" t="str">
            <v xml:space="preserve">Ex. </v>
          </cell>
        </row>
        <row r="90">
          <cell r="A90" t="str">
            <v>8310.00.99</v>
          </cell>
          <cell r="B90" t="str">
            <v>Los demás.</v>
          </cell>
          <cell r="C90" t="str">
            <v>Ex.</v>
          </cell>
          <cell r="E90" t="str">
            <v xml:space="preserve">Ex. </v>
          </cell>
        </row>
        <row r="91">
          <cell r="A91" t="str">
            <v>8413.20.01</v>
          </cell>
          <cell r="B91" t="str">
            <v>Bombas manuales, excepto las de las subpartidas 8413.11 u 8413.19.</v>
          </cell>
          <cell r="C91" t="str">
            <v>Ex.</v>
          </cell>
          <cell r="E91" t="str">
            <v xml:space="preserve">Ex. </v>
          </cell>
        </row>
        <row r="92">
          <cell r="A92" t="str">
            <v>8413.70.99</v>
          </cell>
          <cell r="B92" t="str">
            <v>Las demás.</v>
          </cell>
          <cell r="C92" t="str">
            <v>Ex.</v>
          </cell>
          <cell r="D92" t="str">
            <v>Excepto: Sumergibles, con tubería de descarga de diámetro interior superior o igual a 63 mm, inferior o igual a 610 mm; motobombas sumergibles; bombas de tipo centrífugo para manejo de petróleo y sus derivados.</v>
          </cell>
          <cell r="E92" t="str">
            <v>Ex. Excepto: Sumergibles, con tubería de descarga de diámetro interior superior o igual a 63 mm, inferior o igual a 610 mm; motobombas sumergibles; bombas de tipo centrífugo para manejo de petróleo y sus derivados.</v>
          </cell>
        </row>
        <row r="93">
          <cell r="A93" t="str">
            <v>8414.40.99</v>
          </cell>
          <cell r="B93" t="str">
            <v>Los demás.</v>
          </cell>
          <cell r="C93" t="str">
            <v>Ex.</v>
          </cell>
          <cell r="E93" t="str">
            <v xml:space="preserve">Ex. </v>
          </cell>
        </row>
        <row r="94">
          <cell r="A94" t="str">
            <v>8414.59.99</v>
          </cell>
          <cell r="B94" t="str">
            <v>Los demás.</v>
          </cell>
          <cell r="C94" t="str">
            <v>Ex.</v>
          </cell>
          <cell r="E94" t="str">
            <v xml:space="preserve">Ex. </v>
          </cell>
        </row>
        <row r="95">
          <cell r="A95" t="str">
            <v>8414.60.99</v>
          </cell>
          <cell r="B95" t="str">
            <v>Los demás.</v>
          </cell>
          <cell r="C95" t="str">
            <v>Ex.</v>
          </cell>
          <cell r="E95" t="str">
            <v xml:space="preserve">Ex. </v>
          </cell>
        </row>
        <row r="96">
          <cell r="A96" t="str">
            <v>8414.70.01</v>
          </cell>
          <cell r="B96" t="str">
            <v>Del tipo de campana aspirante.</v>
          </cell>
          <cell r="C96" t="str">
            <v>Ex.</v>
          </cell>
          <cell r="E96" t="str">
            <v xml:space="preserve">Ex. </v>
          </cell>
        </row>
        <row r="97">
          <cell r="A97" t="str">
            <v>8415.81.01</v>
          </cell>
          <cell r="B97" t="str">
            <v>Con equipo de enfriamiento y válvula de inversión del ciclo térmico (bombas de calor reversibles).</v>
          </cell>
          <cell r="C97" t="str">
            <v>Ex.</v>
          </cell>
          <cell r="E97" t="str">
            <v xml:space="preserve">Ex. </v>
          </cell>
        </row>
        <row r="98">
          <cell r="A98" t="str">
            <v>8415.83.01</v>
          </cell>
          <cell r="B98" t="str">
            <v>Sin equipo de enfriamiento.</v>
          </cell>
          <cell r="C98" t="str">
            <v>Ex.</v>
          </cell>
          <cell r="E98" t="str">
            <v xml:space="preserve">Ex. </v>
          </cell>
        </row>
        <row r="99">
          <cell r="A99" t="str">
            <v>8417.80.99</v>
          </cell>
          <cell r="B99" t="str">
            <v>Los demás.</v>
          </cell>
          <cell r="C99" t="str">
            <v>Ex.</v>
          </cell>
          <cell r="E99" t="str">
            <v xml:space="preserve">Ex. </v>
          </cell>
        </row>
        <row r="100">
          <cell r="A100" t="str">
            <v>8419.19.99</v>
          </cell>
          <cell r="B100" t="str">
            <v>Los demás.</v>
          </cell>
          <cell r="C100" t="str">
            <v>Ex.</v>
          </cell>
          <cell r="D100" t="str">
            <v>Excepto: Calentadores solares de agua, de tubos evacuados; calentadores solares de agua de placas, metálicas o plásticas.</v>
          </cell>
          <cell r="E100" t="str">
            <v>Ex. Excepto: Calentadores solares de agua, de tubos evacuados; calentadores solares de agua de placas, metálicas o plásticas.</v>
          </cell>
        </row>
        <row r="101">
          <cell r="A101" t="str">
            <v>8419.89.03</v>
          </cell>
          <cell r="B101" t="str">
            <v>Torres de enfriamiento, excepto las reconocibles como diseñadas para la separación y eliminación de contaminantes.</v>
          </cell>
          <cell r="C101" t="str">
            <v>Ex.</v>
          </cell>
          <cell r="E101" t="str">
            <v xml:space="preserve">Ex. </v>
          </cell>
        </row>
        <row r="102">
          <cell r="A102" t="str">
            <v>8422.19.99</v>
          </cell>
          <cell r="B102" t="str">
            <v>Las demás.</v>
          </cell>
          <cell r="C102" t="str">
            <v>Ex.</v>
          </cell>
          <cell r="E102" t="str">
            <v xml:space="preserve">Ex. </v>
          </cell>
        </row>
        <row r="103">
          <cell r="A103" t="str">
            <v>8423.81.03</v>
          </cell>
          <cell r="B103" t="str">
            <v>Con capacidad inferior o igual a 30 kg.</v>
          </cell>
          <cell r="C103" t="str">
            <v>Ex.</v>
          </cell>
          <cell r="D103" t="str">
            <v xml:space="preserve">Excepto: De funcionamiento electrónico. </v>
          </cell>
          <cell r="E103" t="str">
            <v xml:space="preserve">Ex. Excepto: De funcionamiento electrónico. </v>
          </cell>
        </row>
        <row r="104">
          <cell r="A104" t="str">
            <v>8423.82.03</v>
          </cell>
          <cell r="B104" t="str">
            <v>Con capacidad superior a 30 kg pero inferior o igual a 5,000 kg.</v>
          </cell>
          <cell r="C104" t="str">
            <v>Ex.</v>
          </cell>
          <cell r="D104" t="str">
            <v xml:space="preserve">Excepto: De funcionamiento electrónico. </v>
          </cell>
          <cell r="E104" t="str">
            <v xml:space="preserve">Ex. Excepto: De funcionamiento electrónico. </v>
          </cell>
        </row>
        <row r="105">
          <cell r="A105" t="str">
            <v>8425.31.01</v>
          </cell>
          <cell r="B105" t="str">
            <v>Con capacidad hasta 5,000 kg.</v>
          </cell>
          <cell r="C105" t="str">
            <v>Ex.</v>
          </cell>
          <cell r="E105" t="str">
            <v xml:space="preserve">Ex. </v>
          </cell>
        </row>
        <row r="106">
          <cell r="A106" t="str">
            <v>8427.10.01</v>
          </cell>
          <cell r="B106" t="str">
            <v>Montacargas de carga frontal y unidad motriz trasera (denominado “counterbalance”), con capacidad de carga hasta 3,500 kg.</v>
          </cell>
          <cell r="C106" t="str">
            <v>Ex.</v>
          </cell>
          <cell r="E106" t="str">
            <v xml:space="preserve">Ex. </v>
          </cell>
        </row>
        <row r="107">
          <cell r="A107" t="str">
            <v>8427.20.01</v>
          </cell>
          <cell r="B107" t="str">
            <v>Carretilla con motor de explosión o combustión interna con capacidad de carga hasta 7,000 kg, medida a 620 mm de la cara frontal de las horquillas, excepto lo comprendido en la fracción arancelaria 8427.20.04.</v>
          </cell>
          <cell r="C107" t="str">
            <v>Ex.</v>
          </cell>
          <cell r="E107" t="str">
            <v xml:space="preserve">Ex. </v>
          </cell>
        </row>
        <row r="108">
          <cell r="A108" t="str">
            <v>8427.20.04</v>
          </cell>
          <cell r="B108" t="str">
            <v>Montacargas de carga frontal y unidad motriz trasera (denominado "counterbalance"), con motor de explosión o combustión interna, con capacidad de carga hasta 7,000 kg.</v>
          </cell>
          <cell r="C108" t="str">
            <v>Ex.</v>
          </cell>
          <cell r="E108" t="str">
            <v xml:space="preserve">Ex. </v>
          </cell>
        </row>
        <row r="109">
          <cell r="A109" t="str">
            <v>8428.10.01</v>
          </cell>
          <cell r="B109" t="str">
            <v>Ascensores y montacargas.</v>
          </cell>
          <cell r="C109" t="str">
            <v>Ex.</v>
          </cell>
          <cell r="E109" t="str">
            <v xml:space="preserve">Ex. </v>
          </cell>
        </row>
        <row r="110">
          <cell r="A110" t="str">
            <v>8428.40.99</v>
          </cell>
          <cell r="B110" t="str">
            <v>Los demás.</v>
          </cell>
          <cell r="C110" t="str">
            <v>Ex.</v>
          </cell>
          <cell r="D110" t="str">
            <v xml:space="preserve">Excepto: Escaleras móviles incluso montadas sobre ruedas. </v>
          </cell>
          <cell r="E110" t="str">
            <v xml:space="preserve">Ex. Excepto: Escaleras móviles incluso montadas sobre ruedas. </v>
          </cell>
        </row>
        <row r="111">
          <cell r="A111" t="str">
            <v>8428.70.01</v>
          </cell>
          <cell r="B111" t="str">
            <v>Robots industriales.</v>
          </cell>
          <cell r="C111" t="str">
            <v>Ex.</v>
          </cell>
          <cell r="E111" t="str">
            <v xml:space="preserve">Ex. </v>
          </cell>
        </row>
        <row r="112">
          <cell r="A112" t="str">
            <v>8428.90.99</v>
          </cell>
          <cell r="B112" t="str">
            <v>Los demás.</v>
          </cell>
          <cell r="C112" t="str">
            <v>Ex.</v>
          </cell>
          <cell r="D112" t="str">
            <v xml:space="preserve">Excepto: Brazos de carga marinos o terrestres (garzas marinas o terrestres), reconocibles para la carga o descarga de petróleo o sus derivados en navíos o carros tanque. </v>
          </cell>
          <cell r="E112" t="str">
            <v xml:space="preserve">Ex. Excepto: Brazos de carga marinos o terrestres (garzas marinas o terrestres), reconocibles para la carga o descarga de petróleo o sus derivados en navíos o carros tanque. </v>
          </cell>
        </row>
        <row r="113">
          <cell r="A113" t="str">
            <v>8458.19.01</v>
          </cell>
          <cell r="B113" t="str">
            <v>Paralelos universales, con distancia entre puntos hasta de 4.5 m y con capacidad de volteo hasta de 750 mm de diámetro sobre la bancada.</v>
          </cell>
          <cell r="C113" t="str">
            <v>Ex.</v>
          </cell>
          <cell r="E113" t="str">
            <v xml:space="preserve">Ex. </v>
          </cell>
        </row>
        <row r="114">
          <cell r="A114" t="str">
            <v>8462.29.03</v>
          </cell>
          <cell r="B114" t="str">
            <v>Prensas hidráulicas con capacidad (de presión de trabajo) hasta  1,000 t, excepto de control numérico.</v>
          </cell>
          <cell r="C114" t="str">
            <v>Ex.</v>
          </cell>
          <cell r="E114" t="str">
            <v xml:space="preserve">Ex. </v>
          </cell>
        </row>
        <row r="115">
          <cell r="A115" t="str">
            <v>8462.29.05</v>
          </cell>
          <cell r="B115" t="str">
            <v>Dobladoras (plegadoras) de accionamiento mecánico, con motor, excepto de control numérico.</v>
          </cell>
          <cell r="C115" t="str">
            <v>Ex.</v>
          </cell>
          <cell r="E115" t="str">
            <v xml:space="preserve">Ex. </v>
          </cell>
        </row>
        <row r="116">
          <cell r="A116" t="str">
            <v>8462.39.01</v>
          </cell>
          <cell r="B116" t="str">
            <v>Cizallas o guillotinas; cortadoras de alambre o alambrón.</v>
          </cell>
          <cell r="C116" t="str">
            <v>Ex.</v>
          </cell>
          <cell r="E116" t="str">
            <v xml:space="preserve">Ex. </v>
          </cell>
        </row>
        <row r="117">
          <cell r="A117" t="str">
            <v>8462.59.01</v>
          </cell>
          <cell r="B117" t="str">
            <v>Dobladoras (plegadoras) de accionamiento mecánico, con motor.</v>
          </cell>
          <cell r="C117" t="str">
            <v>Ex.</v>
          </cell>
          <cell r="E117" t="str">
            <v xml:space="preserve">Ex. </v>
          </cell>
        </row>
        <row r="118">
          <cell r="A118" t="str">
            <v>8462.59.03</v>
          </cell>
          <cell r="B118" t="str">
            <v>Cizallas o guillotinas; cortadoras de alambre o alambrón.</v>
          </cell>
          <cell r="C118" t="str">
            <v>Ex.</v>
          </cell>
          <cell r="E118" t="str">
            <v xml:space="preserve">Ex. </v>
          </cell>
        </row>
        <row r="119">
          <cell r="A119" t="str">
            <v>8462.61.01</v>
          </cell>
          <cell r="B119" t="str">
            <v>Prensas hidráulicas con capacidad (de presión de trabajo) hasta 1,000 t.</v>
          </cell>
          <cell r="C119" t="str">
            <v>Ex.</v>
          </cell>
          <cell r="D119" t="str">
            <v>Excepto: de forjar o estampar; de enrollar, curvar, plegar, enderezar o aplanar; de punzonar o entallar, incluso las combinadas de cizallar y punzonar</v>
          </cell>
          <cell r="E119" t="str">
            <v>Ex. Excepto: de forjar o estampar; de enrollar, curvar, plegar, enderezar o aplanar; de punzonar o entallar, incluso las combinadas de cizallar y punzonar</v>
          </cell>
        </row>
        <row r="120">
          <cell r="A120" t="str">
            <v>8467.21.01</v>
          </cell>
          <cell r="B120" t="str">
            <v>Taladros, con capacidad de entrada de 6.35, 9.52 o 12.70 mm.</v>
          </cell>
          <cell r="C120" t="str">
            <v>Ex.</v>
          </cell>
          <cell r="E120" t="str">
            <v xml:space="preserve">Ex. </v>
          </cell>
        </row>
        <row r="121">
          <cell r="A121" t="str">
            <v>8468.10.01</v>
          </cell>
          <cell r="B121" t="str">
            <v>Sopletes manuales.</v>
          </cell>
          <cell r="C121" t="str">
            <v>Ex.</v>
          </cell>
          <cell r="E121" t="str">
            <v xml:space="preserve">Ex. </v>
          </cell>
        </row>
        <row r="122">
          <cell r="A122" t="str">
            <v>8472.90.99</v>
          </cell>
          <cell r="B122" t="str">
            <v>Las demás.</v>
          </cell>
          <cell r="C122" t="str">
            <v>Ex.</v>
          </cell>
          <cell r="D122" t="str">
            <v>Excepto: Perforadoras accionadas por palanca, para dos perforaciones en distancias de 7 u 8 cm, con peso unitario inferior o igual a 1 kg.; engrapadoras o perforadoras; máquinas de escribir automáticas electrónicas; máquinas de escribir automáticas; las demás máquinas de escribir, eléctricas.</v>
          </cell>
          <cell r="E122" t="str">
            <v>Ex. Excepto: Perforadoras accionadas por palanca, para dos perforaciones en distancias de 7 u 8 cm, con peso unitario inferior o igual a 1 kg.; engrapadoras o perforadoras; máquinas de escribir automáticas electrónicas; máquinas de escribir automáticas; las demás máquinas de escribir, eléctricas.</v>
          </cell>
        </row>
        <row r="123">
          <cell r="A123" t="str">
            <v>8477.20.01</v>
          </cell>
          <cell r="B123" t="str">
            <v>De un husillo, para materias termoplásticas o de elastómeros granulados.</v>
          </cell>
          <cell r="C123" t="str">
            <v>Ex.</v>
          </cell>
          <cell r="E123" t="str">
            <v xml:space="preserve">Ex. </v>
          </cell>
        </row>
        <row r="124">
          <cell r="A124" t="str">
            <v>8479.81.04</v>
          </cell>
          <cell r="B124" t="str">
            <v>Para limpieza, pulido o abrillantado de piezas metálicas con abrasivos en circulación, excepto lo comprendido en la fracción arancelaria 8479.81.02.</v>
          </cell>
          <cell r="C124" t="str">
            <v>Ex.</v>
          </cell>
          <cell r="E124" t="str">
            <v xml:space="preserve">Ex. </v>
          </cell>
        </row>
        <row r="125">
          <cell r="A125" t="str">
            <v>8479.82.02</v>
          </cell>
          <cell r="B125" t="str">
            <v>Cubas u otros recipientes provistos de agitadores, incluso con sistemas de vacío o vidriados interiormente, excepto lo comprendido en las fracciones arancelarias 8479.82.01 y 8479.82.05.</v>
          </cell>
          <cell r="C125" t="str">
            <v>Ex.</v>
          </cell>
          <cell r="E125" t="str">
            <v xml:space="preserve">Ex. </v>
          </cell>
        </row>
        <row r="126">
          <cell r="A126" t="str">
            <v>8479.89.10</v>
          </cell>
          <cell r="B126" t="str">
            <v>Acumuladores hidráulicos.</v>
          </cell>
          <cell r="C126" t="str">
            <v>Ex.</v>
          </cell>
          <cell r="E126" t="str">
            <v xml:space="preserve">Ex. </v>
          </cell>
        </row>
        <row r="127">
          <cell r="A127" t="str">
            <v>8481.80.07</v>
          </cell>
          <cell r="B127" t="str">
            <v>Boquillas o espreas para aspersión.</v>
          </cell>
          <cell r="C127" t="str">
            <v>Ex.</v>
          </cell>
          <cell r="E127" t="str">
            <v xml:space="preserve">Ex. </v>
          </cell>
        </row>
        <row r="128">
          <cell r="A128" t="str">
            <v>8481.80.99</v>
          </cell>
          <cell r="B128" t="str">
            <v>Los demás.</v>
          </cell>
          <cell r="C128" t="str">
            <v>Ex.</v>
          </cell>
          <cell r="E128" t="str">
            <v xml:space="preserve">Ex. </v>
          </cell>
        </row>
        <row r="129">
          <cell r="A129" t="str">
            <v>8487.90.01</v>
          </cell>
          <cell r="B129" t="str">
            <v>Cilindros hidráulicos.</v>
          </cell>
          <cell r="C129" t="str">
            <v>Ex.</v>
          </cell>
          <cell r="E129" t="str">
            <v xml:space="preserve">Ex. </v>
          </cell>
        </row>
        <row r="130">
          <cell r="A130" t="str">
            <v>8501.31.05</v>
          </cell>
          <cell r="B130" t="str">
            <v>Motores con potencia superior o igual a 186 W (¼ CP), excepto lo comprendido en las fracciones arancelarias 8501.31.03 y 8501.31.04.</v>
          </cell>
          <cell r="C130" t="str">
            <v>Ex.</v>
          </cell>
          <cell r="E130" t="str">
            <v xml:space="preserve">Ex. </v>
          </cell>
        </row>
        <row r="131">
          <cell r="A131" t="str">
            <v>8501.32.99</v>
          </cell>
          <cell r="B131" t="str">
            <v>Los demás.</v>
          </cell>
          <cell r="C131" t="str">
            <v>Ex.</v>
          </cell>
          <cell r="E131" t="str">
            <v xml:space="preserve">Ex. </v>
          </cell>
        </row>
        <row r="132">
          <cell r="A132" t="str">
            <v>8501.33.99</v>
          </cell>
          <cell r="B132" t="str">
            <v>Los demás.</v>
          </cell>
          <cell r="C132" t="str">
            <v>Ex.</v>
          </cell>
          <cell r="E132" t="str">
            <v xml:space="preserve">Ex. </v>
          </cell>
        </row>
        <row r="133">
          <cell r="A133" t="str">
            <v>8501.51.02</v>
          </cell>
          <cell r="B133" t="str">
            <v>Asíncronos, trifásicos.</v>
          </cell>
          <cell r="C133" t="str">
            <v>Ex.</v>
          </cell>
          <cell r="E133" t="str">
            <v xml:space="preserve">Ex. </v>
          </cell>
        </row>
        <row r="134">
          <cell r="A134" t="str">
            <v>8501.52.04</v>
          </cell>
          <cell r="B134" t="str">
            <v>Asíncronos, trifásicos, excepto los reconocibles para naves aéreas; para trolebuses; para ascensores o elevadores.</v>
          </cell>
          <cell r="C134" t="str">
            <v>Ex.</v>
          </cell>
          <cell r="E134" t="str">
            <v xml:space="preserve">Ex. </v>
          </cell>
        </row>
        <row r="135">
          <cell r="A135" t="str">
            <v>8501.72.01</v>
          </cell>
          <cell r="B135" t="str">
            <v>De potencia superior a 150 kW pero inferior o igual a 375 kW.</v>
          </cell>
          <cell r="C135" t="str">
            <v>Ex.</v>
          </cell>
          <cell r="E135" t="str">
            <v xml:space="preserve">Ex. </v>
          </cell>
        </row>
        <row r="136">
          <cell r="A136" t="str">
            <v>8504.40.16</v>
          </cell>
          <cell r="B136" t="str">
            <v>Fuentes de voltaje, con conversión de corriente CA/CC/CA, llamadas "no break" o "uninterruptible power supply" ("UPS"), excepto reguladores automáticos de voltaje y lo comprendido en la fracción arancelaria 8504.40.14.</v>
          </cell>
          <cell r="C136" t="str">
            <v>Ex.</v>
          </cell>
          <cell r="E136" t="str">
            <v xml:space="preserve">Ex. </v>
          </cell>
        </row>
        <row r="137">
          <cell r="A137" t="str">
            <v>8504.40.99</v>
          </cell>
          <cell r="B137" t="str">
            <v>Los demás.</v>
          </cell>
          <cell r="C137" t="str">
            <v>Ex.</v>
          </cell>
          <cell r="E137" t="str">
            <v xml:space="preserve">Ex. </v>
          </cell>
        </row>
        <row r="138">
          <cell r="A138" t="str">
            <v>8507.20.99</v>
          </cell>
          <cell r="B138" t="str">
            <v>Los demás.</v>
          </cell>
          <cell r="C138" t="str">
            <v>Ex.</v>
          </cell>
          <cell r="D138" t="str">
            <v xml:space="preserve">Únicamente: Del tipo utilizado como fuente de energía para la propulsión de vehículos eléctricos. </v>
          </cell>
          <cell r="E138" t="str">
            <v xml:space="preserve">Ex. Únicamente: Del tipo utilizado como fuente de energía para la propulsión de vehículos eléctricos. </v>
          </cell>
        </row>
        <row r="139">
          <cell r="A139" t="str">
            <v>8509.80.99</v>
          </cell>
          <cell r="B139" t="str">
            <v>Los demás.</v>
          </cell>
          <cell r="C139" t="str">
            <v>Ex.</v>
          </cell>
          <cell r="D139" t="str">
            <v xml:space="preserve">Únicamente: Trituradoras de desperdicios de cocina. </v>
          </cell>
          <cell r="E139" t="str">
            <v xml:space="preserve">Ex. Únicamente: Trituradoras de desperdicios de cocina. </v>
          </cell>
        </row>
        <row r="140">
          <cell r="A140" t="str">
            <v>8514.19.03</v>
          </cell>
          <cell r="B140" t="str">
            <v>Hornos industriales, excepto lo comprendido en las fracciones arancelarias 8514.19.01, 8514.19.02 y 8514.19.04.</v>
          </cell>
          <cell r="C140" t="str">
            <v>Ex.</v>
          </cell>
          <cell r="E140" t="str">
            <v xml:space="preserve">Ex. </v>
          </cell>
        </row>
        <row r="141">
          <cell r="A141" t="str">
            <v>8515.11.01</v>
          </cell>
          <cell r="B141" t="str">
            <v>Para soldar o cortar, portátiles ("cautines").</v>
          </cell>
          <cell r="C141" t="str">
            <v>Ex.</v>
          </cell>
          <cell r="E141" t="str">
            <v xml:space="preserve">Ex. </v>
          </cell>
        </row>
        <row r="142">
          <cell r="A142" t="str">
            <v>8515.31.01</v>
          </cell>
          <cell r="B142" t="str">
            <v>Para soldar o cortar, de arco, tipo generador o transformador, inferior o igual a 1,260 amperes.</v>
          </cell>
          <cell r="C142" t="str">
            <v>Ex.</v>
          </cell>
          <cell r="E142" t="str">
            <v xml:space="preserve">Ex. </v>
          </cell>
        </row>
        <row r="143">
          <cell r="A143" t="str">
            <v>8515.39.01</v>
          </cell>
          <cell r="B143" t="str">
            <v>Para soldar o cortar, de arco, tipo generador o transformador, inferior o igual a 1,260 amperes.</v>
          </cell>
          <cell r="C143" t="str">
            <v>Ex.</v>
          </cell>
          <cell r="E143" t="str">
            <v xml:space="preserve">Ex. </v>
          </cell>
        </row>
        <row r="144">
          <cell r="A144" t="str">
            <v>8523.29.91</v>
          </cell>
          <cell r="B144" t="str">
            <v>Las demás cintas magnéticas grabadas.</v>
          </cell>
          <cell r="C144" t="str">
            <v>Ex.</v>
          </cell>
          <cell r="E144" t="str">
            <v xml:space="preserve">Ex. </v>
          </cell>
        </row>
        <row r="145">
          <cell r="A145" t="str">
            <v>8523.41.01</v>
          </cell>
          <cell r="B145" t="str">
            <v>Discos de escritura (conocidos como CD-R; DVD-R, y demás formatos), para sistemas de lectura por rayo láser.</v>
          </cell>
          <cell r="C145" t="str">
            <v>Ex.</v>
          </cell>
          <cell r="E145" t="str">
            <v xml:space="preserve">Ex. </v>
          </cell>
        </row>
        <row r="146">
          <cell r="A146" t="str">
            <v>8523.51.99</v>
          </cell>
          <cell r="B146" t="str">
            <v>Los demás.</v>
          </cell>
          <cell r="C146" t="str">
            <v>Ex.</v>
          </cell>
          <cell r="E146" t="str">
            <v xml:space="preserve">Ex. </v>
          </cell>
        </row>
        <row r="147">
          <cell r="A147" t="str">
            <v>8528.72.02</v>
          </cell>
          <cell r="B147" t="str">
            <v>Con pantalla superior a 35.56 cm (14 pulgadas), excepto los de alta definición, los tipo proyección y los comprendidos en la fracción arancelaria 8528.72.06.</v>
          </cell>
          <cell r="C147" t="str">
            <v>Ex.</v>
          </cell>
          <cell r="E147" t="str">
            <v xml:space="preserve">Ex. </v>
          </cell>
        </row>
        <row r="148">
          <cell r="A148" t="str">
            <v>8536.10.04</v>
          </cell>
          <cell r="B148" t="str">
            <v>Corta circuitos de fusible excepto los reconocibles para naves aéreas.</v>
          </cell>
          <cell r="C148" t="str">
            <v>Ex.</v>
          </cell>
          <cell r="E148" t="str">
            <v xml:space="preserve">Ex. </v>
          </cell>
        </row>
        <row r="149">
          <cell r="A149" t="str">
            <v>8539.21.99</v>
          </cell>
          <cell r="B149" t="str">
            <v>Los demás.</v>
          </cell>
          <cell r="C149" t="str">
            <v>Ex.</v>
          </cell>
          <cell r="E149" t="str">
            <v xml:space="preserve">Ex. </v>
          </cell>
        </row>
        <row r="150">
          <cell r="A150" t="str">
            <v>8716.80.99</v>
          </cell>
          <cell r="B150" t="str">
            <v>Los demás.</v>
          </cell>
          <cell r="C150" t="str">
            <v>Ex.</v>
          </cell>
          <cell r="D150" t="str">
            <v xml:space="preserve">Únicamente: Carretillas y carros de mano; carretillas de accionamiento hidráulico. </v>
          </cell>
          <cell r="E150" t="str">
            <v xml:space="preserve">Ex. Únicamente: Carretillas y carros de mano; carretillas de accionamiento hidráulico. </v>
          </cell>
        </row>
        <row r="151">
          <cell r="A151" t="str">
            <v>9004.90.99</v>
          </cell>
          <cell r="B151" t="str">
            <v>Los demás.</v>
          </cell>
          <cell r="C151" t="str">
            <v>Ex.</v>
          </cell>
          <cell r="E151" t="str">
            <v xml:space="preserve">Ex. </v>
          </cell>
        </row>
        <row r="152">
          <cell r="A152" t="str">
            <v>9017.10.99</v>
          </cell>
          <cell r="B152" t="str">
            <v>Los demás.</v>
          </cell>
          <cell r="C152" t="str">
            <v>Ex.</v>
          </cell>
          <cell r="D152" t="str">
            <v>Excepto: Máquinas para dibujar o escuadras universales, aun cuando se presenten con su tablero de dibujo.</v>
          </cell>
          <cell r="E152" t="str">
            <v>Ex. Excepto: Máquinas para dibujar o escuadras universales, aun cuando se presenten con su tablero de dibujo.</v>
          </cell>
        </row>
        <row r="153">
          <cell r="A153" t="str">
            <v>9017.80.99</v>
          </cell>
          <cell r="B153" t="str">
            <v>Los demás.</v>
          </cell>
          <cell r="C153" t="str">
            <v>Ex.</v>
          </cell>
          <cell r="E153" t="str">
            <v xml:space="preserve">Ex. </v>
          </cell>
        </row>
        <row r="154">
          <cell r="A154" t="str">
            <v>9025.19.99</v>
          </cell>
          <cell r="B154" t="str">
            <v>Los demás.</v>
          </cell>
          <cell r="C154" t="str">
            <v>Ex.</v>
          </cell>
          <cell r="E154" t="str">
            <v xml:space="preserve">Ex. </v>
          </cell>
        </row>
        <row r="155">
          <cell r="A155" t="str">
            <v>9208.10.01</v>
          </cell>
          <cell r="B155" t="str">
            <v>Cajas de música.</v>
          </cell>
          <cell r="C155" t="str">
            <v>Ex.</v>
          </cell>
          <cell r="E155" t="str">
            <v xml:space="preserve">Ex. </v>
          </cell>
        </row>
        <row r="156">
          <cell r="A156" t="str">
            <v>9208.90.99</v>
          </cell>
          <cell r="B156" t="str">
            <v>Los demás.</v>
          </cell>
          <cell r="C156" t="str">
            <v>Ex.</v>
          </cell>
          <cell r="E156" t="str">
            <v xml:space="preserve">Ex. </v>
          </cell>
        </row>
        <row r="157">
          <cell r="A157" t="str">
            <v>9401.31.01</v>
          </cell>
          <cell r="B157" t="str">
            <v>De madera.</v>
          </cell>
          <cell r="C157" t="str">
            <v>Ex.</v>
          </cell>
          <cell r="E157" t="str">
            <v xml:space="preserve">Ex. </v>
          </cell>
        </row>
        <row r="158">
          <cell r="A158" t="str">
            <v>9401.39.99</v>
          </cell>
          <cell r="B158" t="str">
            <v>Los demás.</v>
          </cell>
          <cell r="C158" t="str">
            <v>Ex.</v>
          </cell>
          <cell r="E158" t="str">
            <v xml:space="preserve">Ex. </v>
          </cell>
        </row>
        <row r="159">
          <cell r="A159" t="str">
            <v>9401.79.99</v>
          </cell>
          <cell r="B159" t="str">
            <v>Los demás.</v>
          </cell>
          <cell r="C159" t="str">
            <v>Ex.</v>
          </cell>
          <cell r="E159" t="str">
            <v xml:space="preserve">Ex. </v>
          </cell>
        </row>
        <row r="160">
          <cell r="A160" t="str">
            <v>9403.30.01</v>
          </cell>
          <cell r="B160" t="str">
            <v>Muebles de madera de los tipos utilizados en oficinas, excepto lo comprendido en la fracción arancelaria 9403.30.02.</v>
          </cell>
          <cell r="C160" t="str">
            <v>Ex.</v>
          </cell>
          <cell r="E160" t="str">
            <v xml:space="preserve">Ex. </v>
          </cell>
        </row>
        <row r="161">
          <cell r="A161" t="str">
            <v>9403.60.99</v>
          </cell>
          <cell r="B161" t="str">
            <v>Los demás.</v>
          </cell>
          <cell r="C161" t="str">
            <v>Ex.</v>
          </cell>
          <cell r="E161" t="str">
            <v xml:space="preserve">Ex. </v>
          </cell>
        </row>
        <row r="162">
          <cell r="A162" t="str">
            <v>9403.70.03</v>
          </cell>
          <cell r="B162" t="str">
            <v>Muebles de plástico.</v>
          </cell>
          <cell r="C162" t="str">
            <v>Ex.</v>
          </cell>
          <cell r="D162" t="str">
            <v>Excepto: Atriles y llamados “estaciones de trabajo”, reconocibles como diseñados para alojar un sistema de cómputo personal, conteniendo por lo menos: una cubierta para monitor, una cubierta para teclado y una cubierta para la unidad central de proceso.</v>
          </cell>
          <cell r="E162" t="str">
            <v>Ex. Excepto: Atriles y llamados “estaciones de trabajo”, reconocibles como diseñados para alojar un sistema de cómputo personal, conteniendo por lo menos: una cubierta para monitor, una cubierta para teclado y una cubierta para la unidad central de proceso.</v>
          </cell>
        </row>
        <row r="163">
          <cell r="A163" t="str">
            <v>9506.99.99</v>
          </cell>
          <cell r="B163" t="str">
            <v>Los demás.</v>
          </cell>
          <cell r="C163" t="str">
            <v>Ex.</v>
          </cell>
          <cell r="E163" t="str">
            <v xml:space="preserve">Ex. </v>
          </cell>
        </row>
        <row r="164">
          <cell r="A164" t="str">
            <v>9507.20.01</v>
          </cell>
          <cell r="B164" t="str">
            <v>Anzuelos, incluso montados en sedal (tanza).</v>
          </cell>
          <cell r="C164" t="str">
            <v>Ex.</v>
          </cell>
          <cell r="E164" t="str">
            <v xml:space="preserve">Ex. </v>
          </cell>
        </row>
        <row r="165">
          <cell r="A165" t="str">
            <v>9603.40.01</v>
          </cell>
          <cell r="B165" t="str">
            <v>Pinceles y brochas para pintar, enlucir, barnizar o similares (excepto los de la subpartida 9603.30); almohadillas o muñequillas y rodillos, para pintar.</v>
          </cell>
          <cell r="C165" t="str">
            <v>Ex.</v>
          </cell>
          <cell r="E165" t="str">
            <v xml:space="preserve">Ex. </v>
          </cell>
        </row>
        <row r="166">
          <cell r="A166" t="str">
            <v>9606.10.01</v>
          </cell>
          <cell r="B166" t="str">
            <v>Botones de presión y sus partes.</v>
          </cell>
          <cell r="C166" t="str">
            <v>Ex.</v>
          </cell>
          <cell r="E166" t="str">
            <v xml:space="preserve">Ex. </v>
          </cell>
        </row>
        <row r="167">
          <cell r="A167" t="str">
            <v>9607.11.01</v>
          </cell>
          <cell r="B167" t="str">
            <v>Con dientes de metal común.</v>
          </cell>
          <cell r="C167" t="str">
            <v>Ex.</v>
          </cell>
          <cell r="E167" t="str">
            <v xml:space="preserve">Ex. </v>
          </cell>
        </row>
        <row r="168">
          <cell r="A168" t="str">
            <v>9607.19.99</v>
          </cell>
          <cell r="B168" t="str">
            <v>Los demás.</v>
          </cell>
          <cell r="C168" t="str">
            <v>Ex.</v>
          </cell>
          <cell r="E168" t="str">
            <v xml:space="preserve">Ex. </v>
          </cell>
        </row>
        <row r="169">
          <cell r="A169" t="str">
            <v>9607.20.01</v>
          </cell>
          <cell r="B169" t="str">
            <v>Partes.</v>
          </cell>
          <cell r="C169" t="str">
            <v>Ex.</v>
          </cell>
          <cell r="E169" t="str">
            <v xml:space="preserve">Ex. </v>
          </cell>
        </row>
        <row r="170">
          <cell r="A170" t="str">
            <v>9609.90.99</v>
          </cell>
          <cell r="B170" t="str">
            <v>Los demás.</v>
          </cell>
          <cell r="C170" t="str">
            <v>Ex.</v>
          </cell>
          <cell r="E170" t="str">
            <v xml:space="preserve">Ex. </v>
          </cell>
        </row>
      </sheetData>
      <sheetData sheetId="8">
        <row r="1">
          <cell r="A1" t="str">
            <v>CÓDIGO</v>
          </cell>
          <cell r="B1" t="str">
            <v>DESCRIPCIÓN</v>
          </cell>
          <cell r="C1" t="str">
            <v>ARANCEL</v>
          </cell>
          <cell r="D1" t="str">
            <v>ACOTACIÓN</v>
          </cell>
        </row>
        <row r="2">
          <cell r="C2" t="str">
            <v>(%)</v>
          </cell>
          <cell r="E2" t="str">
            <v>EX/ACO</v>
          </cell>
        </row>
        <row r="3">
          <cell r="A3" t="str">
            <v>2519.90.01</v>
          </cell>
          <cell r="B3" t="str">
            <v>Óxido de magnesio, excepto la magnesia electrofundida y la magnesia calcinada a muerte (sinterizada).</v>
          </cell>
          <cell r="C3">
            <v>5</v>
          </cell>
          <cell r="E3" t="str">
            <v xml:space="preserve">5 </v>
          </cell>
        </row>
        <row r="4">
          <cell r="A4" t="str">
            <v>3506.91.99</v>
          </cell>
          <cell r="B4" t="str">
            <v>Los demás.</v>
          </cell>
          <cell r="C4">
            <v>3</v>
          </cell>
          <cell r="D4" t="str">
            <v>Únicamente: Adhesivos a base de resinas de poliuretano, del tipo poliol, poliéster o poliéter modificados con isocianatos, con o sin cargas y pigmentos.</v>
          </cell>
          <cell r="E4" t="str">
            <v>3 Únicamente: Adhesivos a base de resinas de poliuretano, del tipo poliol, poliéster o poliéter modificados con isocianatos, con o sin cargas y pigmentos.</v>
          </cell>
        </row>
        <row r="5">
          <cell r="A5" t="str">
            <v>3814.00.01</v>
          </cell>
          <cell r="B5" t="str">
            <v>Disolventes y diluyentes orgánicos compuestos, no expresados ni comprendidos en otra parte; preparaciones para quitar pinturas o barnices.</v>
          </cell>
          <cell r="C5" t="str">
            <v>Ex.</v>
          </cell>
          <cell r="E5" t="str">
            <v xml:space="preserve">Ex. </v>
          </cell>
        </row>
        <row r="6">
          <cell r="A6" t="str">
            <v>3901.30.01</v>
          </cell>
          <cell r="B6" t="str">
            <v>Copolímeros de etileno y acetato de vinilo.</v>
          </cell>
          <cell r="C6">
            <v>5</v>
          </cell>
          <cell r="E6" t="str">
            <v xml:space="preserve">5 </v>
          </cell>
        </row>
        <row r="7">
          <cell r="A7" t="str">
            <v>3926.90.01</v>
          </cell>
          <cell r="B7" t="str">
            <v>Mangos para herramientas de mano.</v>
          </cell>
          <cell r="C7">
            <v>5</v>
          </cell>
          <cell r="E7" t="str">
            <v xml:space="preserve">5 </v>
          </cell>
        </row>
        <row r="8">
          <cell r="A8" t="str">
            <v>3926.90.07</v>
          </cell>
          <cell r="B8" t="str">
            <v>Modelos o patrones.</v>
          </cell>
          <cell r="C8">
            <v>5</v>
          </cell>
          <cell r="E8" t="str">
            <v xml:space="preserve">5 </v>
          </cell>
        </row>
        <row r="9">
          <cell r="A9" t="str">
            <v>3926.90.08</v>
          </cell>
          <cell r="B9" t="str">
            <v>Hormas para calzado.</v>
          </cell>
          <cell r="C9">
            <v>5</v>
          </cell>
          <cell r="E9" t="str">
            <v xml:space="preserve">5 </v>
          </cell>
        </row>
        <row r="10">
          <cell r="A10" t="str">
            <v>3926.90.11</v>
          </cell>
          <cell r="B10" t="str">
            <v>Protectores para el sentido auditivo.</v>
          </cell>
          <cell r="C10">
            <v>5</v>
          </cell>
          <cell r="E10" t="str">
            <v xml:space="preserve">5 </v>
          </cell>
        </row>
        <row r="11">
          <cell r="A11" t="str">
            <v>3926.90.14</v>
          </cell>
          <cell r="B11" t="str">
            <v>Cinchos fijadores o abrazaderas, excepto lo reconocible como diseñados exclusivamente para uso automotriz.</v>
          </cell>
          <cell r="C11">
            <v>5</v>
          </cell>
          <cell r="E11" t="str">
            <v xml:space="preserve">5 </v>
          </cell>
        </row>
        <row r="12">
          <cell r="A12" t="str">
            <v>3926.90.24</v>
          </cell>
          <cell r="B12" t="str">
            <v>Diablos o tacos (pigs) de poliuretanos con diámetro hasta de 122 cm, para la limpieza interior de tuberías, aun cuando estén recubiertos con banda de caucho, con incrustaciones de carburo de tungsteno o cerdas de acero.</v>
          </cell>
          <cell r="C12">
            <v>5</v>
          </cell>
          <cell r="E12" t="str">
            <v xml:space="preserve">5 </v>
          </cell>
        </row>
        <row r="13">
          <cell r="A13" t="str">
            <v>4205.00.99</v>
          </cell>
          <cell r="B13" t="str">
            <v>Las demás.</v>
          </cell>
          <cell r="C13" t="str">
            <v>Ex.</v>
          </cell>
          <cell r="D13" t="str">
            <v>Excepto: Partes cortadas en forma, reconocibles como diseñadas exclusivamente para cinturones portaherramientas.</v>
          </cell>
          <cell r="E13" t="str">
            <v>Ex. Excepto: Partes cortadas en forma, reconocibles como diseñadas exclusivamente para cinturones portaherramientas.</v>
          </cell>
        </row>
        <row r="14">
          <cell r="A14" t="str">
            <v>4417.00.99</v>
          </cell>
          <cell r="B14" t="str">
            <v>Los demás.</v>
          </cell>
          <cell r="C14" t="str">
            <v>Ex.</v>
          </cell>
          <cell r="E14" t="str">
            <v xml:space="preserve">Ex. </v>
          </cell>
        </row>
        <row r="15">
          <cell r="A15" t="str">
            <v>5903.20.02</v>
          </cell>
          <cell r="B15" t="str">
            <v>Con poliuretano.</v>
          </cell>
          <cell r="C15" t="str">
            <v>Ex.</v>
          </cell>
          <cell r="E15" t="str">
            <v xml:space="preserve">Ex. </v>
          </cell>
        </row>
        <row r="16">
          <cell r="A16" t="str">
            <v>5903.90.99</v>
          </cell>
          <cell r="B16" t="str">
            <v>Las demás.</v>
          </cell>
          <cell r="C16" t="str">
            <v>Ex.</v>
          </cell>
          <cell r="D16" t="str">
            <v>Excepto: Cintas o tiras adhesivas.</v>
          </cell>
          <cell r="E16" t="str">
            <v>Ex. Excepto: Cintas o tiras adhesivas.</v>
          </cell>
        </row>
        <row r="17">
          <cell r="A17" t="str">
            <v>6307.90.99</v>
          </cell>
          <cell r="B17" t="str">
            <v>Los demás.</v>
          </cell>
          <cell r="C17" t="str">
            <v>Ex.</v>
          </cell>
          <cell r="E17" t="str">
            <v xml:space="preserve">Ex. </v>
          </cell>
        </row>
        <row r="18">
          <cell r="A18" t="str">
            <v>6406.10.09</v>
          </cell>
          <cell r="B18" t="str">
            <v>Partes de cortes de calzado.</v>
          </cell>
          <cell r="C18">
            <v>5</v>
          </cell>
          <cell r="D18" t="str">
            <v>Únicamente: De cuero o piel; de materia textil.</v>
          </cell>
          <cell r="E18" t="str">
            <v>5 Únicamente: De cuero o piel; de materia textil.</v>
          </cell>
        </row>
        <row r="19">
          <cell r="A19" t="str">
            <v>6406.20.01</v>
          </cell>
          <cell r="B19" t="str">
            <v>Suelas.</v>
          </cell>
          <cell r="C19" t="str">
            <v>Ex.</v>
          </cell>
          <cell r="E19" t="str">
            <v xml:space="preserve">Ex. </v>
          </cell>
        </row>
        <row r="20">
          <cell r="A20" t="str">
            <v>6406.90.99</v>
          </cell>
          <cell r="B20" t="str">
            <v>Los demás.</v>
          </cell>
          <cell r="C20" t="str">
            <v>Ex.</v>
          </cell>
          <cell r="E20" t="str">
            <v xml:space="preserve">Ex. </v>
          </cell>
        </row>
        <row r="21">
          <cell r="A21" t="str">
            <v>7117.19.99</v>
          </cell>
          <cell r="B21" t="str">
            <v>Las demás.</v>
          </cell>
          <cell r="C21">
            <v>5</v>
          </cell>
          <cell r="E21" t="str">
            <v xml:space="preserve">5 </v>
          </cell>
        </row>
        <row r="22">
          <cell r="A22" t="str">
            <v>8211.93.01</v>
          </cell>
          <cell r="B22" t="str">
            <v>Cuchillos, excepto los de hoja fija, incluidas las navajas de podar.</v>
          </cell>
          <cell r="C22">
            <v>5</v>
          </cell>
          <cell r="E22" t="str">
            <v xml:space="preserve">5 </v>
          </cell>
        </row>
        <row r="23">
          <cell r="A23" t="str">
            <v>8213.00.01</v>
          </cell>
          <cell r="B23" t="str">
            <v>Tijeras y sus hojas.</v>
          </cell>
          <cell r="C23">
            <v>5</v>
          </cell>
          <cell r="E23" t="str">
            <v xml:space="preserve">5 </v>
          </cell>
        </row>
        <row r="24">
          <cell r="A24" t="str">
            <v>8301.40.91</v>
          </cell>
          <cell r="B24" t="str">
            <v>Las demás cerraduras; cerrojos.</v>
          </cell>
          <cell r="C24">
            <v>5</v>
          </cell>
          <cell r="E24" t="str">
            <v xml:space="preserve">5 </v>
          </cell>
        </row>
        <row r="25">
          <cell r="A25" t="str">
            <v>8308.10.99</v>
          </cell>
          <cell r="B25" t="str">
            <v>Los demás.</v>
          </cell>
          <cell r="C25" t="str">
            <v>Ex.</v>
          </cell>
          <cell r="E25" t="str">
            <v xml:space="preserve">Ex. </v>
          </cell>
        </row>
        <row r="26">
          <cell r="A26" t="str">
            <v>8308.20.01</v>
          </cell>
          <cell r="B26" t="str">
            <v>Remaches tubulares o con espiga hendida.</v>
          </cell>
          <cell r="C26" t="str">
            <v>Ex.</v>
          </cell>
          <cell r="E26" t="str">
            <v xml:space="preserve">Ex. </v>
          </cell>
        </row>
        <row r="27">
          <cell r="A27" t="str">
            <v>8308.90.91</v>
          </cell>
          <cell r="B27" t="str">
            <v>Los demás, incluidas las partes.</v>
          </cell>
          <cell r="C27" t="str">
            <v>Ex.</v>
          </cell>
          <cell r="E27" t="str">
            <v xml:space="preserve">Ex. </v>
          </cell>
        </row>
        <row r="28">
          <cell r="A28" t="str">
            <v>8423.82.03</v>
          </cell>
          <cell r="B28" t="str">
            <v>Con capacidad superior a 30 kg pero inferior o igual a 5,000 kg.</v>
          </cell>
          <cell r="C28">
            <v>5</v>
          </cell>
          <cell r="D28" t="str">
            <v>Excepto: De funcionamiento electrónico.</v>
          </cell>
          <cell r="E28" t="str">
            <v>5 Excepto: De funcionamiento electrónico.</v>
          </cell>
        </row>
        <row r="29">
          <cell r="A29" t="str">
            <v>8427.20.01</v>
          </cell>
          <cell r="B29" t="str">
            <v>Carretilla con motor de explosión o combustión interna con capacidad de carga hasta 7,000 kg, medida a 620 mm de la cara frontal de las horquillas, excepto lo comprendido en la fracción arancelaria 8427.20.04.</v>
          </cell>
          <cell r="C29">
            <v>5</v>
          </cell>
          <cell r="E29" t="str">
            <v xml:space="preserve">5 </v>
          </cell>
        </row>
        <row r="30">
          <cell r="A30" t="str">
            <v>8427.90.91</v>
          </cell>
          <cell r="B30" t="str">
            <v>Las demás carretillas.</v>
          </cell>
          <cell r="C30">
            <v>5</v>
          </cell>
          <cell r="D30" t="str">
            <v>Excepto: Carros de transferencia (plataforma móvil o cambiador para los recolectores o apiladores de minerales).</v>
          </cell>
          <cell r="E30" t="str">
            <v>5 Excepto: Carros de transferencia (plataforma móvil o cambiador para los recolectores o apiladores de minerales).</v>
          </cell>
        </row>
        <row r="31">
          <cell r="A31" t="str">
            <v>8474.10.01</v>
          </cell>
          <cell r="B31" t="str">
            <v>Clasificadoras de tamiz, de minerales tipo espiral o tipo rastrillo.</v>
          </cell>
          <cell r="C31">
            <v>5</v>
          </cell>
          <cell r="E31" t="str">
            <v xml:space="preserve">5 </v>
          </cell>
        </row>
        <row r="32">
          <cell r="A32" t="str">
            <v>8481.80.07</v>
          </cell>
          <cell r="B32" t="str">
            <v>Boquillas o espreas para aspersión.</v>
          </cell>
          <cell r="C32">
            <v>5</v>
          </cell>
          <cell r="E32" t="str">
            <v xml:space="preserve">5 </v>
          </cell>
        </row>
        <row r="33">
          <cell r="A33" t="str">
            <v>9606.22.01</v>
          </cell>
          <cell r="B33" t="str">
            <v>De metal común, sin forrar con materia textil.</v>
          </cell>
          <cell r="C33">
            <v>5</v>
          </cell>
          <cell r="E33" t="str">
            <v xml:space="preserve">5 </v>
          </cell>
        </row>
        <row r="34">
          <cell r="A34" t="str">
            <v>9606.29.99</v>
          </cell>
          <cell r="B34" t="str">
            <v>Los demás.</v>
          </cell>
          <cell r="C34">
            <v>5</v>
          </cell>
          <cell r="E34" t="str">
            <v xml:space="preserve">5 </v>
          </cell>
        </row>
        <row r="35">
          <cell r="A35" t="str">
            <v>9607.11.01</v>
          </cell>
          <cell r="B35" t="str">
            <v>Con dientes de metal común.</v>
          </cell>
          <cell r="C35">
            <v>5</v>
          </cell>
          <cell r="E35" t="str">
            <v xml:space="preserve">5 </v>
          </cell>
        </row>
        <row r="36">
          <cell r="A36" t="str">
            <v>9607.19.99</v>
          </cell>
          <cell r="B36" t="str">
            <v>Los demás.</v>
          </cell>
          <cell r="C36" t="str">
            <v>Ex.</v>
          </cell>
          <cell r="E36" t="str">
            <v xml:space="preserve">Ex. </v>
          </cell>
        </row>
      </sheetData>
      <sheetData sheetId="9">
        <row r="1">
          <cell r="A1" t="str">
            <v>CÓDIGO</v>
          </cell>
          <cell r="B1" t="str">
            <v>DESCRIPCIÓN</v>
          </cell>
          <cell r="C1" t="str">
            <v>ARANCEL (%)</v>
          </cell>
          <cell r="D1" t="str">
            <v>ACOTACIÓN</v>
          </cell>
        </row>
        <row r="2">
          <cell r="A2" t="str">
            <v>7616.99.99</v>
          </cell>
          <cell r="B2" t="str">
            <v>Las demás.</v>
          </cell>
          <cell r="C2">
            <v>5</v>
          </cell>
          <cell r="E2" t="str">
            <v>EX/ACO</v>
          </cell>
        </row>
        <row r="3">
          <cell r="A3" t="str">
            <v>8413.20.01</v>
          </cell>
          <cell r="B3" t="str">
            <v>Bombas manuales, excepto las de las subpartidas 8413.11 u 8413.19.</v>
          </cell>
          <cell r="C3" t="str">
            <v>Ex.</v>
          </cell>
          <cell r="E3" t="str">
            <v xml:space="preserve">Ex. </v>
          </cell>
        </row>
        <row r="4">
          <cell r="A4" t="str">
            <v>8413.60.04</v>
          </cell>
          <cell r="B4" t="str">
            <v>Hidráulicas de paletas, para presión inferior o igual a 217 kg/cm² (210 atmósferas).</v>
          </cell>
          <cell r="C4">
            <v>5</v>
          </cell>
          <cell r="E4" t="str">
            <v xml:space="preserve">5 </v>
          </cell>
        </row>
        <row r="5">
          <cell r="A5" t="str">
            <v>8413.70.99</v>
          </cell>
          <cell r="B5" t="str">
            <v>Las demás.</v>
          </cell>
          <cell r="C5">
            <v>5</v>
          </cell>
          <cell r="D5" t="str">
            <v>Excepto: Bombas de tipo centrífugo para manejo de petróleo y sus derivados.</v>
          </cell>
          <cell r="E5" t="str">
            <v>5 Excepto: Bombas de tipo centrífugo para manejo de petróleo y sus derivados.</v>
          </cell>
        </row>
        <row r="6">
          <cell r="A6" t="str">
            <v>8414.59.99</v>
          </cell>
          <cell r="B6" t="str">
            <v>Los demás.</v>
          </cell>
          <cell r="C6">
            <v>5</v>
          </cell>
          <cell r="E6" t="str">
            <v xml:space="preserve">5 </v>
          </cell>
        </row>
        <row r="7">
          <cell r="A7" t="str">
            <v>8423.20.99</v>
          </cell>
          <cell r="B7" t="str">
            <v>Los demás.</v>
          </cell>
          <cell r="C7">
            <v>5</v>
          </cell>
          <cell r="E7" t="str">
            <v xml:space="preserve">5 </v>
          </cell>
        </row>
        <row r="8">
          <cell r="A8" t="str">
            <v>8423.82.03</v>
          </cell>
          <cell r="B8" t="str">
            <v>Con capacidad superior a 30 kg pero inferior o igual a 5,000 kg.</v>
          </cell>
          <cell r="C8">
            <v>5</v>
          </cell>
          <cell r="D8" t="str">
            <v>Excepto: De funcionamiento electrónico.</v>
          </cell>
          <cell r="E8" t="str">
            <v>5 Excepto: De funcionamiento electrónico.</v>
          </cell>
        </row>
        <row r="9">
          <cell r="A9" t="str">
            <v>8424.20.01</v>
          </cell>
          <cell r="B9" t="str">
            <v>Pulverizadores, espolvoreadores, esparcidores o aspersores, excepto los reconocibles para naves aéreas.</v>
          </cell>
          <cell r="C9">
            <v>5</v>
          </cell>
          <cell r="E9" t="str">
            <v xml:space="preserve">5 </v>
          </cell>
        </row>
        <row r="10">
          <cell r="A10" t="str">
            <v>8425.11.99</v>
          </cell>
          <cell r="B10" t="str">
            <v>Los demás.</v>
          </cell>
          <cell r="C10">
            <v>5</v>
          </cell>
          <cell r="E10" t="str">
            <v xml:space="preserve">5 </v>
          </cell>
        </row>
        <row r="11">
          <cell r="A11" t="str">
            <v>8425.19.99</v>
          </cell>
          <cell r="B11" t="str">
            <v>Los demás.</v>
          </cell>
          <cell r="C11">
            <v>5</v>
          </cell>
          <cell r="E11" t="str">
            <v xml:space="preserve">5 </v>
          </cell>
        </row>
        <row r="12">
          <cell r="A12" t="str">
            <v>8427.10.01</v>
          </cell>
          <cell r="B12" t="str">
            <v>Montacargas de carga frontal y unidad motriz trasera (denominado “counterbalance”), con capacidad de carga hasta 3,500 kg.</v>
          </cell>
          <cell r="C12">
            <v>5</v>
          </cell>
          <cell r="E12" t="str">
            <v xml:space="preserve">5 </v>
          </cell>
        </row>
        <row r="13">
          <cell r="A13" t="str">
            <v>8427.20.01</v>
          </cell>
          <cell r="B13" t="str">
            <v>Carretilla con motor de explosión o combustión interna con capacidad de carga hasta 7,000 kg, medida a 620 mm de la cara frontal de las horquillas, excepto lo comprendido en la fracción arancelaria 8427.20.04.</v>
          </cell>
          <cell r="C13">
            <v>5</v>
          </cell>
          <cell r="E13" t="str">
            <v xml:space="preserve">5 </v>
          </cell>
        </row>
        <row r="14">
          <cell r="A14" t="str">
            <v>8427.20.04</v>
          </cell>
          <cell r="B14" t="str">
            <v>Montacargas de carga frontal y unidad motriz trasera (denominado "counterbalance"), con motor de explosión o combustión interna, con capacidad de carga hasta 7,000 kg.</v>
          </cell>
          <cell r="C14">
            <v>5</v>
          </cell>
          <cell r="E14" t="str">
            <v xml:space="preserve">5 </v>
          </cell>
        </row>
        <row r="15">
          <cell r="A15" t="str">
            <v>8427.90.91</v>
          </cell>
          <cell r="B15" t="str">
            <v>Las demás carretillas.</v>
          </cell>
          <cell r="C15">
            <v>5</v>
          </cell>
          <cell r="D15" t="str">
            <v>Excepto: Carros de transferencia (plataforma móvil o cambiador para los recolectores o apiladores de minerales).</v>
          </cell>
          <cell r="E15" t="str">
            <v>5 Excepto: Carros de transferencia (plataforma móvil o cambiador para los recolectores o apiladores de minerales).</v>
          </cell>
        </row>
        <row r="16">
          <cell r="A16" t="str">
            <v>8429.20.01</v>
          </cell>
          <cell r="B16" t="str">
            <v>Niveladoras.</v>
          </cell>
          <cell r="C16">
            <v>5</v>
          </cell>
          <cell r="E16" t="str">
            <v xml:space="preserve">5 </v>
          </cell>
        </row>
        <row r="17">
          <cell r="A17" t="str">
            <v>8430.50.99</v>
          </cell>
          <cell r="B17" t="str">
            <v>Los demás.</v>
          </cell>
          <cell r="C17">
            <v>5</v>
          </cell>
          <cell r="E17" t="str">
            <v xml:space="preserve">5 </v>
          </cell>
        </row>
        <row r="18">
          <cell r="A18" t="str">
            <v>8462.11.01</v>
          </cell>
          <cell r="B18" t="str">
            <v>Hidráulicas con capacidad (de presión de trabajo) hasta 1,000 t.</v>
          </cell>
          <cell r="C18">
            <v>5</v>
          </cell>
          <cell r="E18" t="str">
            <v xml:space="preserve">5 </v>
          </cell>
        </row>
        <row r="19">
          <cell r="A19" t="str">
            <v>8462.19.01</v>
          </cell>
          <cell r="B19" t="str">
            <v>Hidráulicas con capacidad (de presión de trabajo) hasta 1,000 t.</v>
          </cell>
          <cell r="C19">
            <v>5</v>
          </cell>
          <cell r="E19" t="str">
            <v xml:space="preserve">5 </v>
          </cell>
        </row>
        <row r="20">
          <cell r="A20" t="str">
            <v>8462.61.01</v>
          </cell>
          <cell r="B20" t="str">
            <v>Prensas hidráulicas con capacidad (de presión de trabajo) hasta 1,000 t.</v>
          </cell>
          <cell r="C20">
            <v>5</v>
          </cell>
          <cell r="D20" t="str">
            <v>Únicamente: De forjar o estampar.</v>
          </cell>
          <cell r="E20" t="str">
            <v>5 Únicamente: De forjar o estampar.</v>
          </cell>
        </row>
        <row r="21">
          <cell r="A21" t="str">
            <v>8479.82.04</v>
          </cell>
          <cell r="B21" t="str">
            <v>Agitador-mezclador de hélice, excepto lo comprendido en la fracción arancelaria 8479.82.05.</v>
          </cell>
          <cell r="C21" t="str">
            <v>Ex.</v>
          </cell>
          <cell r="E21" t="str">
            <v xml:space="preserve">Ex. </v>
          </cell>
        </row>
        <row r="22">
          <cell r="A22" t="str">
            <v>8479.89.10</v>
          </cell>
          <cell r="B22" t="str">
            <v>Acumuladores hidráulicos.</v>
          </cell>
          <cell r="C22" t="str">
            <v>Ex.</v>
          </cell>
          <cell r="E22" t="str">
            <v xml:space="preserve">Ex. </v>
          </cell>
        </row>
        <row r="23">
          <cell r="A23" t="str">
            <v>8480.60.99</v>
          </cell>
          <cell r="B23" t="str">
            <v>Los demás.</v>
          </cell>
          <cell r="C23" t="str">
            <v>Ex.</v>
          </cell>
          <cell r="E23" t="str">
            <v xml:space="preserve">Ex. </v>
          </cell>
        </row>
        <row r="24">
          <cell r="A24" t="str">
            <v>8481.80.99</v>
          </cell>
          <cell r="B24" t="str">
            <v>Los demás.</v>
          </cell>
          <cell r="C24">
            <v>5</v>
          </cell>
          <cell r="E24" t="str">
            <v xml:space="preserve">5 </v>
          </cell>
        </row>
        <row r="25">
          <cell r="A25" t="str">
            <v>8483.60.02</v>
          </cell>
          <cell r="B25" t="str">
            <v>Acoplamientos elásticos, acoplamientos de acero forjado con peso unitario superior o igual a 600 kg.</v>
          </cell>
          <cell r="C25">
            <v>5</v>
          </cell>
          <cell r="E25" t="str">
            <v xml:space="preserve">5 </v>
          </cell>
        </row>
        <row r="26">
          <cell r="A26" t="str">
            <v>8483.60.99</v>
          </cell>
          <cell r="B26" t="str">
            <v>Los demás.</v>
          </cell>
          <cell r="C26">
            <v>5</v>
          </cell>
          <cell r="E26" t="str">
            <v xml:space="preserve">5 </v>
          </cell>
        </row>
        <row r="27">
          <cell r="A27" t="str">
            <v>8501.31.05</v>
          </cell>
          <cell r="B27" t="str">
            <v>Motores con potencia superior o igual a 186 W (¼ CP), excepto lo comprendido en las fracciones arancelarias 8501.31.03 y 8501.31.04.</v>
          </cell>
          <cell r="C27">
            <v>5</v>
          </cell>
          <cell r="E27" t="str">
            <v xml:space="preserve">5 </v>
          </cell>
        </row>
        <row r="28">
          <cell r="A28" t="str">
            <v>8501.32.05</v>
          </cell>
          <cell r="B28" t="str">
            <v>Motores de potencia igual o inferior a 3.75 kW (5 CP).</v>
          </cell>
          <cell r="C28">
            <v>5</v>
          </cell>
          <cell r="E28" t="str">
            <v xml:space="preserve">5 </v>
          </cell>
        </row>
        <row r="29">
          <cell r="A29" t="str">
            <v>8501.32.99</v>
          </cell>
          <cell r="B29" t="str">
            <v>Los demás.</v>
          </cell>
          <cell r="C29">
            <v>5</v>
          </cell>
          <cell r="E29" t="str">
            <v xml:space="preserve">5 </v>
          </cell>
        </row>
        <row r="30">
          <cell r="A30" t="str">
            <v>8501.51.02</v>
          </cell>
          <cell r="B30" t="str">
            <v>Asíncronos, trifásicos.</v>
          </cell>
          <cell r="C30">
            <v>5</v>
          </cell>
          <cell r="E30" t="str">
            <v xml:space="preserve">5 </v>
          </cell>
        </row>
        <row r="31">
          <cell r="A31" t="str">
            <v>8501.52.04</v>
          </cell>
          <cell r="B31" t="str">
            <v>Asíncronos, trifásicos, excepto los reconocibles para naves aéreas; para trolebuses; para ascensores o elevadores.</v>
          </cell>
          <cell r="C31">
            <v>5</v>
          </cell>
          <cell r="E31" t="str">
            <v xml:space="preserve">5 </v>
          </cell>
        </row>
        <row r="32">
          <cell r="A32" t="str">
            <v>8501.53.04</v>
          </cell>
          <cell r="B32" t="str">
            <v>Asíncronos, trifásicos, con potencia de salida inferior o igual a 8,952 kW (12,000 CP), excepto los reconocibles para naves aéreas; para trolebuses, ascensores o elevadores.</v>
          </cell>
          <cell r="C32">
            <v>5</v>
          </cell>
          <cell r="E32" t="str">
            <v xml:space="preserve">5 </v>
          </cell>
        </row>
        <row r="33">
          <cell r="A33" t="str">
            <v>8507.10.99</v>
          </cell>
          <cell r="B33" t="str">
            <v>Los demás.</v>
          </cell>
          <cell r="C33">
            <v>5</v>
          </cell>
          <cell r="E33" t="str">
            <v xml:space="preserve">5 </v>
          </cell>
        </row>
        <row r="34">
          <cell r="A34" t="str">
            <v>8511.80.01</v>
          </cell>
          <cell r="B34" t="str">
            <v>Reguladores de arranque.</v>
          </cell>
          <cell r="C34">
            <v>5</v>
          </cell>
          <cell r="E34" t="str">
            <v xml:space="preserve">5 </v>
          </cell>
        </row>
        <row r="35">
          <cell r="A35" t="str">
            <v>8511.80.99</v>
          </cell>
          <cell r="B35" t="str">
            <v>Los demás.</v>
          </cell>
          <cell r="C35">
            <v>5</v>
          </cell>
          <cell r="E35" t="str">
            <v xml:space="preserve">5 </v>
          </cell>
        </row>
        <row r="36">
          <cell r="A36" t="str">
            <v>8526.92.99</v>
          </cell>
          <cell r="B36" t="str">
            <v>Los demás.</v>
          </cell>
          <cell r="C36">
            <v>5</v>
          </cell>
          <cell r="E36" t="str">
            <v xml:space="preserve">5 </v>
          </cell>
        </row>
        <row r="37">
          <cell r="A37" t="str">
            <v>9025.19.99</v>
          </cell>
          <cell r="B37" t="str">
            <v>Los demás.</v>
          </cell>
          <cell r="C37" t="str">
            <v>Ex.</v>
          </cell>
          <cell r="E37" t="str">
            <v xml:space="preserve">Ex. </v>
          </cell>
        </row>
      </sheetData>
      <sheetData sheetId="10">
        <row r="1">
          <cell r="A1" t="str">
            <v>CÓDIGO</v>
          </cell>
          <cell r="B1" t="str">
            <v>DESCRIPCIÓN</v>
          </cell>
          <cell r="C1" t="str">
            <v>ARANCEL</v>
          </cell>
          <cell r="D1" t="str">
            <v>ACOTACIÓN</v>
          </cell>
        </row>
        <row r="2">
          <cell r="C2" t="str">
            <v>(%)</v>
          </cell>
          <cell r="E2" t="str">
            <v>EX/ACO</v>
          </cell>
        </row>
        <row r="3">
          <cell r="A3" t="str">
            <v>3907.30.99</v>
          </cell>
          <cell r="B3" t="str">
            <v>Los demás.</v>
          </cell>
          <cell r="C3">
            <v>5</v>
          </cell>
          <cell r="D3" t="str">
            <v>Excepto: Resinas epóxidas.</v>
          </cell>
          <cell r="E3" t="str">
            <v>5 Excepto: Resinas epóxidas.</v>
          </cell>
        </row>
        <row r="4">
          <cell r="A4" t="str">
            <v>3917.33.99</v>
          </cell>
          <cell r="B4" t="str">
            <v>Los demás.</v>
          </cell>
          <cell r="C4">
            <v>5</v>
          </cell>
          <cell r="E4" t="str">
            <v xml:space="preserve">5 </v>
          </cell>
        </row>
        <row r="5">
          <cell r="A5" t="str">
            <v>3923.50.01</v>
          </cell>
          <cell r="B5" t="str">
            <v>Tapones, tapas, cápsulas y demás dispositivos de cierre.</v>
          </cell>
          <cell r="C5">
            <v>5</v>
          </cell>
          <cell r="E5" t="str">
            <v xml:space="preserve">5 </v>
          </cell>
        </row>
        <row r="6">
          <cell r="A6" t="str">
            <v>3923.90.99</v>
          </cell>
          <cell r="B6" t="str">
            <v>Los demás.</v>
          </cell>
          <cell r="C6">
            <v>5</v>
          </cell>
          <cell r="E6" t="str">
            <v xml:space="preserve">5 </v>
          </cell>
        </row>
        <row r="7">
          <cell r="A7" t="str">
            <v>3925.90.99</v>
          </cell>
          <cell r="B7" t="str">
            <v>Los demás.</v>
          </cell>
          <cell r="C7">
            <v>5</v>
          </cell>
          <cell r="E7" t="str">
            <v xml:space="preserve">5 </v>
          </cell>
        </row>
        <row r="8">
          <cell r="A8" t="str">
            <v>3926.90.01</v>
          </cell>
          <cell r="B8" t="str">
            <v>Mangos para herramientas de mano.</v>
          </cell>
          <cell r="C8">
            <v>5</v>
          </cell>
          <cell r="E8" t="str">
            <v xml:space="preserve">5 </v>
          </cell>
        </row>
        <row r="9">
          <cell r="A9" t="str">
            <v>3926.90.14</v>
          </cell>
          <cell r="B9" t="str">
            <v>Cinchos fijadores o abrazaderas, excepto lo reconocible como diseñados exclusivamente para uso automotriz.</v>
          </cell>
          <cell r="C9">
            <v>5</v>
          </cell>
          <cell r="E9" t="str">
            <v xml:space="preserve">5 </v>
          </cell>
        </row>
        <row r="10">
          <cell r="A10" t="str">
            <v>4011.80.93</v>
          </cell>
          <cell r="B10" t="str">
            <v>Los demás, para rines.</v>
          </cell>
          <cell r="C10">
            <v>5</v>
          </cell>
          <cell r="D10" t="str">
            <v>Únicamente: Los demás para rines de diámetro inferior o igual a 61 cm.</v>
          </cell>
          <cell r="E10" t="str">
            <v>5 Únicamente: Los demás para rines de diámetro inferior o igual a 61 cm.</v>
          </cell>
        </row>
        <row r="11">
          <cell r="A11" t="str">
            <v>4011.90.99</v>
          </cell>
          <cell r="B11" t="str">
            <v>Los demás.</v>
          </cell>
          <cell r="C11">
            <v>5</v>
          </cell>
          <cell r="E11" t="str">
            <v xml:space="preserve">5 </v>
          </cell>
        </row>
        <row r="12">
          <cell r="A12" t="str">
            <v>4901.99.99</v>
          </cell>
          <cell r="B12" t="str">
            <v>Los demás.</v>
          </cell>
          <cell r="C12">
            <v>5</v>
          </cell>
          <cell r="E12" t="str">
            <v xml:space="preserve">5 </v>
          </cell>
        </row>
        <row r="13">
          <cell r="A13" t="str">
            <v>5911.90.99</v>
          </cell>
          <cell r="B13" t="str">
            <v>Los demás.</v>
          </cell>
          <cell r="C13">
            <v>5</v>
          </cell>
          <cell r="D13" t="str">
            <v>Únicamente: Juntas, arandelas, membranas, discos, manguitos o artículos análogos para usos técnicos.</v>
          </cell>
          <cell r="E13" t="str">
            <v>5 Únicamente: Juntas, arandelas, membranas, discos, manguitos o artículos análogos para usos técnicos.</v>
          </cell>
        </row>
        <row r="14">
          <cell r="A14" t="str">
            <v>6804.30.01</v>
          </cell>
          <cell r="B14" t="str">
            <v>Piedras de afilar o pulir a mano.</v>
          </cell>
          <cell r="C14">
            <v>5</v>
          </cell>
          <cell r="E14" t="str">
            <v xml:space="preserve">5 </v>
          </cell>
        </row>
        <row r="15">
          <cell r="A15" t="str">
            <v>7419.20.99</v>
          </cell>
          <cell r="B15" t="str">
            <v>Los demás.</v>
          </cell>
          <cell r="C15">
            <v>5</v>
          </cell>
          <cell r="E15" t="str">
            <v xml:space="preserve">5 </v>
          </cell>
        </row>
        <row r="16">
          <cell r="A16" t="str">
            <v>7419.80.02</v>
          </cell>
          <cell r="B16" t="str">
            <v>Terminales para cables.</v>
          </cell>
          <cell r="C16">
            <v>5</v>
          </cell>
          <cell r="E16" t="str">
            <v xml:space="preserve">5 </v>
          </cell>
        </row>
        <row r="17">
          <cell r="A17" t="str">
            <v>7616.99.99</v>
          </cell>
          <cell r="B17" t="str">
            <v>Las demás.</v>
          </cell>
          <cell r="C17">
            <v>5</v>
          </cell>
          <cell r="E17" t="str">
            <v xml:space="preserve">5 </v>
          </cell>
        </row>
        <row r="18">
          <cell r="A18" t="str">
            <v>8204.11.99</v>
          </cell>
          <cell r="B18" t="str">
            <v>Los demás.</v>
          </cell>
          <cell r="C18">
            <v>5</v>
          </cell>
          <cell r="E18" t="str">
            <v xml:space="preserve">5 </v>
          </cell>
        </row>
        <row r="19">
          <cell r="A19" t="str">
            <v>8205.40.99</v>
          </cell>
          <cell r="B19" t="str">
            <v>Los demás.</v>
          </cell>
          <cell r="C19">
            <v>5</v>
          </cell>
          <cell r="E19" t="str">
            <v xml:space="preserve">5 </v>
          </cell>
        </row>
        <row r="20">
          <cell r="A20" t="str">
            <v>8205.59.99</v>
          </cell>
          <cell r="B20" t="str">
            <v>Las demás.</v>
          </cell>
          <cell r="C20">
            <v>5</v>
          </cell>
          <cell r="D20" t="str">
            <v>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ell>
          <cell r="E20" t="str">
            <v>5 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ell>
        </row>
        <row r="21">
          <cell r="A21" t="str">
            <v>8205.70.99</v>
          </cell>
          <cell r="B21" t="str">
            <v>Los demás.</v>
          </cell>
          <cell r="C21">
            <v>5</v>
          </cell>
          <cell r="D21" t="str">
            <v>Únicamente: Prensas de sujeción.</v>
          </cell>
          <cell r="E21" t="str">
            <v>5 Únicamente: Prensas de sujeción.</v>
          </cell>
        </row>
        <row r="22">
          <cell r="A22" t="str">
            <v>8301.40.91</v>
          </cell>
          <cell r="B22" t="str">
            <v>Las demás cerraduras; cerrojos.</v>
          </cell>
          <cell r="C22" t="str">
            <v>Ex.</v>
          </cell>
          <cell r="E22" t="str">
            <v xml:space="preserve">Ex. </v>
          </cell>
        </row>
        <row r="23">
          <cell r="A23" t="str">
            <v>8302.10.99</v>
          </cell>
          <cell r="B23" t="str">
            <v>Los demás.</v>
          </cell>
          <cell r="C23">
            <v>5</v>
          </cell>
          <cell r="E23" t="str">
            <v xml:space="preserve">5 </v>
          </cell>
        </row>
        <row r="24">
          <cell r="A24" t="str">
            <v>8302.49.99</v>
          </cell>
          <cell r="B24" t="str">
            <v>Los demás.</v>
          </cell>
          <cell r="C24">
            <v>5</v>
          </cell>
          <cell r="E24" t="str">
            <v xml:space="preserve">5 </v>
          </cell>
        </row>
        <row r="25">
          <cell r="A25" t="str">
            <v>8302.60.01</v>
          </cell>
          <cell r="B25" t="str">
            <v>Cierrapuertas automáticos.</v>
          </cell>
          <cell r="C25">
            <v>5</v>
          </cell>
          <cell r="E25" t="str">
            <v xml:space="preserve">5 </v>
          </cell>
        </row>
        <row r="26">
          <cell r="A26" t="str">
            <v>8310.00.99</v>
          </cell>
          <cell r="B26" t="str">
            <v>Los demás.</v>
          </cell>
          <cell r="C26">
            <v>5</v>
          </cell>
          <cell r="E26" t="str">
            <v xml:space="preserve">5 </v>
          </cell>
        </row>
        <row r="27">
          <cell r="A27" t="str">
            <v>8409.99.99</v>
          </cell>
          <cell r="B27" t="str">
            <v>Las demás.</v>
          </cell>
          <cell r="C27" t="str">
            <v>Ex.</v>
          </cell>
          <cell r="E27" t="str">
            <v xml:space="preserve">Ex. </v>
          </cell>
        </row>
        <row r="28">
          <cell r="A28" t="str">
            <v>8413.70.99</v>
          </cell>
          <cell r="B28" t="str">
            <v>Las demás.</v>
          </cell>
          <cell r="C28">
            <v>5</v>
          </cell>
          <cell r="D28" t="str">
            <v>Excepto: Sumergibles, con tubería de descarga de diámetro interior superior o igual a 63 mm, pero inferior o igual a 610 mm; motobombas sumergibles; bombas de tipo centrífugo para manejo de petróleo y sus derivados.</v>
          </cell>
          <cell r="E28" t="str">
            <v>5 Excepto: Sumergibles, con tubería de descarga de diámetro interior superior o igual a 63 mm, pero inferior o igual a 610 mm; motobombas sumergibles; bombas de tipo centrífugo para manejo de petróleo y sus derivados.</v>
          </cell>
        </row>
        <row r="29">
          <cell r="A29" t="str">
            <v>8414.59.99</v>
          </cell>
          <cell r="B29" t="str">
            <v>Los demás.</v>
          </cell>
          <cell r="C29" t="str">
            <v>Ex.</v>
          </cell>
          <cell r="E29" t="str">
            <v xml:space="preserve">Ex. </v>
          </cell>
        </row>
        <row r="30">
          <cell r="A30" t="str">
            <v>8414.70.02</v>
          </cell>
          <cell r="B30" t="str">
            <v>Filtros.</v>
          </cell>
          <cell r="C30" t="str">
            <v>Ex.</v>
          </cell>
          <cell r="E30" t="str">
            <v xml:space="preserve">Ex. </v>
          </cell>
        </row>
        <row r="31">
          <cell r="A31" t="str">
            <v>8415.20.01</v>
          </cell>
          <cell r="B31" t="str">
            <v>De los tipos utilizados en vehículos automóviles para sus ocupantes.</v>
          </cell>
          <cell r="C31" t="str">
            <v>Ex.</v>
          </cell>
          <cell r="E31" t="str">
            <v xml:space="preserve">Ex. </v>
          </cell>
        </row>
        <row r="32">
          <cell r="A32" t="str">
            <v>8416.20.99</v>
          </cell>
          <cell r="B32" t="str">
            <v>Las demás.</v>
          </cell>
          <cell r="C32">
            <v>5</v>
          </cell>
          <cell r="E32" t="str">
            <v xml:space="preserve">5 </v>
          </cell>
        </row>
        <row r="33">
          <cell r="A33" t="str">
            <v>8417.10.03</v>
          </cell>
          <cell r="B33" t="str">
            <v>Para fusión, calentamiento, recalentamiento y/o tratamiento térmico de metales, excepto la oxicupola, con capacidad superior a 80 t/h y las industriales de operación continua.</v>
          </cell>
          <cell r="C33" t="str">
            <v>Ex.</v>
          </cell>
          <cell r="D33" t="str">
            <v>Excepto: Sumergibles, con tubería de descarga de diámetro interior superior o igual a 63 mm, pero inferior o igual a 610 mm; Motobombas sumergibles; Bombas de tipo centrífugo para manejo de petróleo y sus derivados.</v>
          </cell>
          <cell r="E33" t="str">
            <v>Ex. Excepto: Sumergibles, con tubería de descarga de diámetro interior superior o igual a 63 mm, pero inferior o igual a 610 mm; Motobombas sumergibles; Bombas de tipo centrífugo para manejo de petróleo y sus derivados.</v>
          </cell>
        </row>
        <row r="34">
          <cell r="A34" t="str">
            <v>8418.69.99</v>
          </cell>
          <cell r="B34" t="str">
            <v>Los demás.</v>
          </cell>
          <cell r="C34">
            <v>5</v>
          </cell>
          <cell r="D34" t="str">
            <v>Excepto: Máquinas automáticas para la producción de hielo en cubos, escamas u otras formas; aparatos surtidores de agua caliente y fría (incluso refrigerada o a temperatura ambiente), con o sin gabinete de refrigeración incorporado o depósito (por ejemplo, un botellón), aunque puedan conectarse a una tubería (por ejemplo, despachadores).</v>
          </cell>
          <cell r="E34" t="str">
            <v>5 Excepto: Máquinas automáticas para la producción de hielo en cubos, escamas u otras formas; aparatos surtidores de agua caliente y fría (incluso refrigerada o a temperatura ambiente), con o sin gabinete de refrigeración incorporado o depósito (por ejemplo, un botellón), aunque puedan conectarse a una tubería (por ejemplo, despachadores).</v>
          </cell>
        </row>
        <row r="35">
          <cell r="A35" t="str">
            <v>8421.32.99</v>
          </cell>
          <cell r="B35" t="str">
            <v>Los demás.</v>
          </cell>
          <cell r="C35" t="str">
            <v>Ex.</v>
          </cell>
          <cell r="E35" t="str">
            <v xml:space="preserve">Ex. </v>
          </cell>
        </row>
        <row r="36">
          <cell r="A36" t="str">
            <v>8421.39.99</v>
          </cell>
          <cell r="B36" t="str">
            <v>Las demás.</v>
          </cell>
          <cell r="C36" t="str">
            <v>Ex.</v>
          </cell>
          <cell r="D36" t="str">
            <v>Excepto: Depuradores ciclón; Purificadores de aire, sin dispositivos que modifiquen temperatura y/o humedad, reconocibles como diseñados exclusivamente para campanas aspirantes de uso doméstico.</v>
          </cell>
          <cell r="E36" t="str">
            <v>Ex. Excepto: Depuradores ciclón; Purificadores de aire, sin dispositivos que modifiquen temperatura y/o humedad, reconocibles como diseñados exclusivamente para campanas aspirantes de uso doméstico.</v>
          </cell>
        </row>
        <row r="37">
          <cell r="A37" t="str">
            <v>8423.82.03</v>
          </cell>
          <cell r="B37" t="str">
            <v>Con capacidad superior a 30 kg pero inferior o igual a 5,000 kg.</v>
          </cell>
          <cell r="C37" t="str">
            <v>Ex.</v>
          </cell>
          <cell r="D37" t="str">
            <v>Excepto: De funcionamiento electrónico.</v>
          </cell>
          <cell r="E37" t="str">
            <v>Ex. Excepto: De funcionamiento electrónico.</v>
          </cell>
        </row>
        <row r="38">
          <cell r="A38" t="str">
            <v>8425.19.99</v>
          </cell>
          <cell r="B38" t="str">
            <v>Los demás.</v>
          </cell>
          <cell r="C38" t="str">
            <v>Ex.</v>
          </cell>
          <cell r="E38" t="str">
            <v xml:space="preserve">Ex. </v>
          </cell>
        </row>
        <row r="39">
          <cell r="A39" t="str">
            <v>8425.31.01</v>
          </cell>
          <cell r="B39" t="str">
            <v>Con capacidad hasta 5,000 kg.</v>
          </cell>
          <cell r="C39" t="str">
            <v>Ex.</v>
          </cell>
          <cell r="E39" t="str">
            <v xml:space="preserve">Ex. </v>
          </cell>
        </row>
        <row r="40">
          <cell r="A40" t="str">
            <v>8428.70.01</v>
          </cell>
          <cell r="B40" t="str">
            <v>Robots industriales.</v>
          </cell>
          <cell r="C40">
            <v>5</v>
          </cell>
          <cell r="E40" t="str">
            <v xml:space="preserve">5 </v>
          </cell>
        </row>
        <row r="41">
          <cell r="A41" t="str">
            <v>8428.90.99</v>
          </cell>
          <cell r="B41" t="str">
            <v>Los demás.</v>
          </cell>
          <cell r="C41">
            <v>5</v>
          </cell>
          <cell r="D41" t="str">
            <v>Excepto: Brazos de carga marinos o terrestres (garzas marinas o terrestres), reconocibles para la carga o descarga de petróleo o sus derivados en navíos o carros tanque.</v>
          </cell>
          <cell r="E41" t="str">
            <v>5 Excepto: Brazos de carga marinos o terrestres (garzas marinas o terrestres), reconocibles para la carga o descarga de petróleo o sus derivados en navíos o carros tanque.</v>
          </cell>
        </row>
        <row r="42">
          <cell r="A42" t="str">
            <v>8458.11.01</v>
          </cell>
          <cell r="B42" t="str">
            <v>Paralelos universales, con distancia entre puntos hasta de 4.5 m y con capacidad de volteo hasta de 750 mm, de diámetro sobre la bancada.</v>
          </cell>
          <cell r="C42" t="str">
            <v>Ex.</v>
          </cell>
          <cell r="E42" t="str">
            <v xml:space="preserve">Ex. </v>
          </cell>
        </row>
        <row r="43">
          <cell r="A43" t="str">
            <v>8458.19.01</v>
          </cell>
          <cell r="B43" t="str">
            <v>Paralelos universales, con distancia entre puntos hasta de 4.5 m y con capacidad de volteo hasta de 750 mm de diámetro sobre la bancada.</v>
          </cell>
          <cell r="C43" t="str">
            <v>Ex.</v>
          </cell>
          <cell r="E43" t="str">
            <v xml:space="preserve">Ex. </v>
          </cell>
        </row>
        <row r="44">
          <cell r="A44" t="str">
            <v>8461.50.02</v>
          </cell>
          <cell r="B44" t="str">
            <v>Serradoras de disco o de cinta sinfín, excepto de control numérico.</v>
          </cell>
          <cell r="C44" t="str">
            <v>Ex.</v>
          </cell>
          <cell r="E44" t="str">
            <v xml:space="preserve">Ex. </v>
          </cell>
        </row>
        <row r="45">
          <cell r="A45" t="str">
            <v>8462.11.01</v>
          </cell>
          <cell r="B45" t="str">
            <v>Hidráulicas con capacidad (de presión de trabajo) hasta 1,000 t.</v>
          </cell>
          <cell r="C45" t="str">
            <v>Ex.</v>
          </cell>
          <cell r="E45" t="str">
            <v xml:space="preserve">Ex. </v>
          </cell>
        </row>
        <row r="46">
          <cell r="A46" t="str">
            <v>8462.19.01</v>
          </cell>
          <cell r="B46" t="str">
            <v>Hidráulicas con capacidad (de presión de trabajo) hasta 1,000 t.</v>
          </cell>
          <cell r="C46" t="str">
            <v>Ex.</v>
          </cell>
          <cell r="E46" t="str">
            <v xml:space="preserve">Ex. </v>
          </cell>
        </row>
        <row r="47">
          <cell r="A47" t="str">
            <v>8462.61.01</v>
          </cell>
          <cell r="B47" t="str">
            <v>Prensas hidráulicas con capacidad (de presión de trabajo) hasta 1,000 t.</v>
          </cell>
          <cell r="C47" t="str">
            <v>Ex.</v>
          </cell>
          <cell r="D47" t="str">
            <v>Excepto: De enrollar, curvar, plegar, enderezar o aplanar; de punzonar o entallar, incluso las combinadas de cizallar y punzonar.</v>
          </cell>
          <cell r="E47" t="str">
            <v>Ex. Excepto: De enrollar, curvar, plegar, enderezar o aplanar; de punzonar o entallar, incluso las combinadas de cizallar y punzonar.</v>
          </cell>
        </row>
        <row r="48">
          <cell r="A48" t="str">
            <v>8462.62.01</v>
          </cell>
          <cell r="B48" t="str">
            <v>Prensas mecánicas con capacidad inferior o igual a 200 t, excepto para punzonar o entallar.</v>
          </cell>
          <cell r="C48" t="str">
            <v>Ex.</v>
          </cell>
          <cell r="D48" t="str">
            <v>Excepto: De enrollar, curvar, plegar, enderezar o aplanar; de cizallar; de punzonar o entallar, incluso las combinadas de cizallar y punzonar.</v>
          </cell>
          <cell r="E48" t="str">
            <v>Ex. Excepto: De enrollar, curvar, plegar, enderezar o aplanar; de cizallar; de punzonar o entallar, incluso las combinadas de cizallar y punzonar.</v>
          </cell>
        </row>
        <row r="49">
          <cell r="A49" t="str">
            <v>8474.20.99</v>
          </cell>
          <cell r="B49" t="str">
            <v>Los demás.</v>
          </cell>
          <cell r="C49" t="str">
            <v>Ex.</v>
          </cell>
          <cell r="D49" t="str">
            <v>Únicamente: Quebrantadores de mandíbulas y trituradores de muelas; quebrantadores giratorios de conos, con diámetro de tazón inferior o igual a 1,200 mm; trituradores de martillos, de percusión o de choque.</v>
          </cell>
          <cell r="E49" t="str">
            <v>Ex. Únicamente: Quebrantadores de mandíbulas y trituradores de muelas; quebrantadores giratorios de conos, con diámetro de tazón inferior o igual a 1,200 mm; trituradores de martillos, de percusión o de choque.</v>
          </cell>
        </row>
        <row r="50">
          <cell r="A50" t="str">
            <v>8476.90.02</v>
          </cell>
          <cell r="B50" t="str">
            <v>Partes.</v>
          </cell>
          <cell r="C50" t="str">
            <v>Ex.</v>
          </cell>
          <cell r="D50" t="str">
            <v>Excepto: Mecanismos seleccionadores o distribuidores.</v>
          </cell>
          <cell r="E50" t="str">
            <v>Ex. Excepto: Mecanismos seleccionadores o distribuidores.</v>
          </cell>
        </row>
        <row r="51">
          <cell r="A51" t="str">
            <v>8481.10.01</v>
          </cell>
          <cell r="B51" t="str">
            <v>De diafragma, con regulación manual.</v>
          </cell>
          <cell r="C51" t="str">
            <v>Ex.</v>
          </cell>
          <cell r="E51" t="str">
            <v xml:space="preserve">Ex. </v>
          </cell>
        </row>
        <row r="52">
          <cell r="A52" t="str">
            <v>8481.80.02</v>
          </cell>
          <cell r="B52" t="str">
            <v>Grifería sanitaria de uso doméstico.</v>
          </cell>
          <cell r="C52">
            <v>5</v>
          </cell>
          <cell r="E52" t="str">
            <v xml:space="preserve">5 </v>
          </cell>
        </row>
        <row r="53">
          <cell r="A53" t="str">
            <v>8481.80.07</v>
          </cell>
          <cell r="B53" t="str">
            <v>Boquillas o espreas para aspersión.</v>
          </cell>
          <cell r="C53" t="str">
            <v>Ex.</v>
          </cell>
          <cell r="E53" t="str">
            <v xml:space="preserve">Ex. </v>
          </cell>
        </row>
        <row r="54">
          <cell r="A54" t="str">
            <v>8481.80.99</v>
          </cell>
          <cell r="B54" t="str">
            <v>Los demás.</v>
          </cell>
          <cell r="C54">
            <v>5</v>
          </cell>
          <cell r="E54" t="str">
            <v xml:space="preserve">5 </v>
          </cell>
        </row>
        <row r="55">
          <cell r="A55" t="str">
            <v>8483.60.99</v>
          </cell>
          <cell r="B55" t="str">
            <v>Los demás.</v>
          </cell>
          <cell r="C55">
            <v>5</v>
          </cell>
          <cell r="E55" t="str">
            <v xml:space="preserve">5 </v>
          </cell>
        </row>
        <row r="56">
          <cell r="A56" t="str">
            <v>8484.10.01</v>
          </cell>
          <cell r="B56" t="str">
            <v>Juntas metaloplásticas.</v>
          </cell>
          <cell r="C56" t="str">
            <v>Ex.</v>
          </cell>
          <cell r="E56" t="str">
            <v xml:space="preserve">Ex. </v>
          </cell>
        </row>
        <row r="57">
          <cell r="A57" t="str">
            <v>8487.90.01</v>
          </cell>
          <cell r="B57" t="str">
            <v>Cilindros hidráulicos.</v>
          </cell>
          <cell r="C57" t="str">
            <v>Ex.</v>
          </cell>
          <cell r="E57" t="str">
            <v xml:space="preserve">Ex. </v>
          </cell>
        </row>
        <row r="58">
          <cell r="A58" t="str">
            <v>8501.32.05</v>
          </cell>
          <cell r="B58" t="str">
            <v>Motores de potencia igual o inferior a 3.75 kW (5 CP).</v>
          </cell>
          <cell r="C58">
            <v>5</v>
          </cell>
          <cell r="E58" t="str">
            <v xml:space="preserve">5 </v>
          </cell>
        </row>
        <row r="59">
          <cell r="A59" t="str">
            <v>8501.32.99</v>
          </cell>
          <cell r="B59" t="str">
            <v>Los demás.</v>
          </cell>
          <cell r="C59">
            <v>5</v>
          </cell>
          <cell r="E59" t="str">
            <v xml:space="preserve">5 </v>
          </cell>
        </row>
        <row r="60">
          <cell r="A60" t="str">
            <v>8501.51.02</v>
          </cell>
          <cell r="B60" t="str">
            <v>Asíncronos, trifásicos.</v>
          </cell>
          <cell r="C60">
            <v>5</v>
          </cell>
          <cell r="E60" t="str">
            <v xml:space="preserve">5 </v>
          </cell>
        </row>
        <row r="61">
          <cell r="A61" t="str">
            <v>8501.52.04</v>
          </cell>
          <cell r="B61" t="str">
            <v>Asíncronos, trifásicos, excepto los reconocibles para naves aéreas; para trolebuses; para ascensores o elevadores.</v>
          </cell>
          <cell r="C61">
            <v>5</v>
          </cell>
          <cell r="E61" t="str">
            <v xml:space="preserve">5 </v>
          </cell>
        </row>
        <row r="62">
          <cell r="A62" t="str">
            <v>8501.63.01</v>
          </cell>
          <cell r="B62" t="str">
            <v>De potencia superior a 375 kVA pero inferior o igual a 750 kVA.</v>
          </cell>
          <cell r="C62">
            <v>5</v>
          </cell>
          <cell r="E62" t="str">
            <v xml:space="preserve">5 </v>
          </cell>
        </row>
        <row r="63">
          <cell r="A63" t="str">
            <v>8501.64.01</v>
          </cell>
          <cell r="B63" t="str">
            <v>De potencia superior a 750 kVA, pero inferior o igual a 6,000 kVA, excepto lo comprendido en la fracción arancelaria 8501.64.03.</v>
          </cell>
          <cell r="C63">
            <v>5</v>
          </cell>
          <cell r="E63" t="str">
            <v xml:space="preserve">5 </v>
          </cell>
        </row>
        <row r="64">
          <cell r="A64" t="str">
            <v>8501.80.99</v>
          </cell>
          <cell r="B64" t="str">
            <v>Los demás.</v>
          </cell>
          <cell r="C64">
            <v>5</v>
          </cell>
          <cell r="D64" t="str">
            <v>Únicamente: De potencia superior a 375 kVA pero inferior o igual a 750 kVA.</v>
          </cell>
          <cell r="E64" t="str">
            <v>5 Únicamente: De potencia superior a 375 kVA pero inferior o igual a 750 kVA.</v>
          </cell>
        </row>
        <row r="65">
          <cell r="A65" t="str">
            <v>8504.31.03</v>
          </cell>
          <cell r="B65" t="str">
            <v>De distribución, monofásicos o trifásicos.</v>
          </cell>
          <cell r="C65" t="str">
            <v>Ex.</v>
          </cell>
          <cell r="E65" t="str">
            <v xml:space="preserve">Ex. </v>
          </cell>
        </row>
        <row r="66">
          <cell r="A66" t="str">
            <v>8504.40.99</v>
          </cell>
          <cell r="B66" t="str">
            <v>Los demás.</v>
          </cell>
          <cell r="C66">
            <v>5</v>
          </cell>
          <cell r="E66" t="str">
            <v xml:space="preserve">5 </v>
          </cell>
        </row>
        <row r="67">
          <cell r="A67" t="str">
            <v>8505.20.01</v>
          </cell>
          <cell r="B67" t="str">
            <v>Acoplamientos, embragues, variadores de velocidad y frenos, electromagnéticos.</v>
          </cell>
          <cell r="C67" t="str">
            <v>Ex.</v>
          </cell>
          <cell r="E67" t="str">
            <v xml:space="preserve">Ex. </v>
          </cell>
        </row>
        <row r="68">
          <cell r="A68" t="str">
            <v>8507.10.99</v>
          </cell>
          <cell r="B68" t="str">
            <v>Los demás.</v>
          </cell>
          <cell r="C68">
            <v>5</v>
          </cell>
          <cell r="E68" t="str">
            <v xml:space="preserve">5 </v>
          </cell>
        </row>
        <row r="69">
          <cell r="A69" t="str">
            <v>8514.19.03</v>
          </cell>
          <cell r="B69" t="str">
            <v>Hornos industriales, excepto lo comprendido en las fracciones arancelarias 8514.19.01, 8514.19.02 y 8514.19.04.</v>
          </cell>
          <cell r="C69">
            <v>5</v>
          </cell>
          <cell r="E69" t="str">
            <v xml:space="preserve">5 </v>
          </cell>
        </row>
        <row r="70">
          <cell r="A70" t="str">
            <v>8515.11.01</v>
          </cell>
          <cell r="B70" t="str">
            <v>Para soldar o cortar, portátiles ("cautines").</v>
          </cell>
          <cell r="C70">
            <v>5</v>
          </cell>
          <cell r="E70" t="str">
            <v xml:space="preserve">5 </v>
          </cell>
        </row>
        <row r="71">
          <cell r="A71" t="str">
            <v>8515.31.01</v>
          </cell>
          <cell r="B71" t="str">
            <v>Para soldar o cortar, de arco, tipo generador o transformador, inferior o igual a 1,260 amperes.</v>
          </cell>
          <cell r="C71">
            <v>5</v>
          </cell>
          <cell r="E71" t="str">
            <v xml:space="preserve">5 </v>
          </cell>
        </row>
        <row r="72">
          <cell r="A72" t="str">
            <v>8515.31.99</v>
          </cell>
          <cell r="B72" t="str">
            <v>Los demás.</v>
          </cell>
          <cell r="C72">
            <v>5</v>
          </cell>
          <cell r="E72" t="str">
            <v xml:space="preserve">5 </v>
          </cell>
        </row>
        <row r="73">
          <cell r="A73" t="str">
            <v>8515.39.01</v>
          </cell>
          <cell r="B73" t="str">
            <v>Para soldar o cortar, de arco, tipo generador o transformador, inferior o igual a 1,260 amperes.</v>
          </cell>
          <cell r="C73">
            <v>5</v>
          </cell>
          <cell r="E73" t="str">
            <v xml:space="preserve">5 </v>
          </cell>
        </row>
        <row r="74">
          <cell r="A74" t="str">
            <v>8516.10.02</v>
          </cell>
          <cell r="B74" t="str">
            <v>Calentadores eléctricos de agua de calentamiento instantáneo o acumulación y calentadores eléctricos de inmersión.</v>
          </cell>
          <cell r="C74" t="str">
            <v>Ex.</v>
          </cell>
          <cell r="E74" t="str">
            <v xml:space="preserve">Ex. </v>
          </cell>
        </row>
        <row r="75">
          <cell r="A75" t="str">
            <v>8531.10.99</v>
          </cell>
          <cell r="B75" t="str">
            <v>Los demás.</v>
          </cell>
          <cell r="C75">
            <v>5</v>
          </cell>
          <cell r="D75" t="str">
            <v>Excepto: Detectores electrónicos de humo, de monóxido de carbono, o de calor.</v>
          </cell>
          <cell r="E75" t="str">
            <v>5 Excepto: Detectores electrónicos de humo, de monóxido de carbono, o de calor.</v>
          </cell>
        </row>
        <row r="76">
          <cell r="A76" t="str">
            <v>8531.80.99</v>
          </cell>
          <cell r="B76" t="str">
            <v>Los demás.</v>
          </cell>
          <cell r="C76">
            <v>5</v>
          </cell>
          <cell r="E76" t="str">
            <v xml:space="preserve">5 </v>
          </cell>
        </row>
        <row r="77">
          <cell r="A77" t="str">
            <v>8536.10.04</v>
          </cell>
          <cell r="B77" t="str">
            <v>Corta circuitos de fusible excepto los reconocibles para naves aéreas.</v>
          </cell>
          <cell r="C77">
            <v>5</v>
          </cell>
          <cell r="E77" t="str">
            <v xml:space="preserve">5 </v>
          </cell>
        </row>
        <row r="78">
          <cell r="A78" t="str">
            <v>9015.80.99</v>
          </cell>
          <cell r="B78" t="str">
            <v>Los demás.</v>
          </cell>
          <cell r="C78" t="str">
            <v>Ex.</v>
          </cell>
          <cell r="D78" t="str">
            <v>Excepto: Instrumentos y aparatos necesarios para medir la capa de ozono y para monitorear, medir y prevenir sismos u otros fenómenos naturales; Alidadas con plancheta, excepto eléctricos o electrónicos; clísimetros.</v>
          </cell>
          <cell r="E78" t="str">
            <v>Ex. Excepto: Instrumentos y aparatos necesarios para medir la capa de ozono y para monitorear, medir y prevenir sismos u otros fenómenos naturales; Alidadas con plancheta, excepto eléctricos o electrónicos; clísimetros.</v>
          </cell>
        </row>
        <row r="79">
          <cell r="A79" t="str">
            <v>9017.80.99</v>
          </cell>
          <cell r="B79" t="str">
            <v>Los demás.</v>
          </cell>
          <cell r="C79" t="str">
            <v>Ex.</v>
          </cell>
          <cell r="D79" t="str">
            <v>Excepto: Cintas métricas.</v>
          </cell>
          <cell r="E79" t="str">
            <v>Ex. Excepto: Cintas métricas.</v>
          </cell>
        </row>
        <row r="80">
          <cell r="A80" t="str">
            <v>9025.19.99</v>
          </cell>
          <cell r="B80" t="str">
            <v>Los demás.</v>
          </cell>
          <cell r="C80">
            <v>5</v>
          </cell>
          <cell r="E80" t="str">
            <v xml:space="preserve">5 </v>
          </cell>
        </row>
        <row r="81">
          <cell r="A81" t="str">
            <v>9031.80.01</v>
          </cell>
          <cell r="B81" t="str">
            <v>Controles fotoeléctricos.</v>
          </cell>
          <cell r="C81" t="str">
            <v>Ex.</v>
          </cell>
          <cell r="E81" t="str">
            <v xml:space="preserve">Ex. </v>
          </cell>
        </row>
        <row r="82">
          <cell r="A82" t="str">
            <v>9032.10.99</v>
          </cell>
          <cell r="B82" t="str">
            <v>Los demás.</v>
          </cell>
          <cell r="C82" t="str">
            <v>Ex.</v>
          </cell>
          <cell r="D82" t="str">
            <v>Excepto: Para estufas y caloríficos.</v>
          </cell>
          <cell r="E82" t="str">
            <v>Ex. Excepto: Para estufas y caloríficos.</v>
          </cell>
        </row>
        <row r="83">
          <cell r="A83" t="str">
            <v>9603.90.99</v>
          </cell>
          <cell r="B83" t="str">
            <v>Los demás.</v>
          </cell>
          <cell r="C83">
            <v>5</v>
          </cell>
          <cell r="E83" t="str">
            <v xml:space="preserve">5 </v>
          </cell>
        </row>
      </sheetData>
      <sheetData sheetId="11">
        <row r="1">
          <cell r="A1" t="str">
            <v>CÓDIGO</v>
          </cell>
          <cell r="B1" t="str">
            <v>DESCRIPCIÓN</v>
          </cell>
          <cell r="C1" t="str">
            <v>ARANCEL</v>
          </cell>
          <cell r="D1" t="str">
            <v>ACOTACIÓN</v>
          </cell>
        </row>
        <row r="2">
          <cell r="C2" t="str">
            <v>(%)</v>
          </cell>
          <cell r="E2" t="str">
            <v>EX/ACO</v>
          </cell>
        </row>
        <row r="3">
          <cell r="A3" t="str">
            <v>3923.30.02</v>
          </cell>
          <cell r="B3" t="str">
            <v>Bombonas (damajuanas), botellas, frascos y artículos similares.</v>
          </cell>
          <cell r="C3" t="str">
            <v>Ex.</v>
          </cell>
          <cell r="E3" t="str">
            <v xml:space="preserve">Ex. </v>
          </cell>
        </row>
        <row r="4">
          <cell r="A4" t="str">
            <v>3923.40.99</v>
          </cell>
          <cell r="B4" t="str">
            <v>Los demás.</v>
          </cell>
          <cell r="C4" t="str">
            <v>Ex.</v>
          </cell>
          <cell r="E4" t="str">
            <v xml:space="preserve">Ex. </v>
          </cell>
        </row>
        <row r="5">
          <cell r="A5" t="str">
            <v>3923.50.01</v>
          </cell>
          <cell r="B5" t="str">
            <v>Tapones, tapas, cápsulas y demás dispositivos de cierre.</v>
          </cell>
          <cell r="C5" t="str">
            <v>Ex.</v>
          </cell>
          <cell r="E5" t="str">
            <v xml:space="preserve">Ex. </v>
          </cell>
        </row>
        <row r="6">
          <cell r="A6" t="str">
            <v>3926.90.14</v>
          </cell>
          <cell r="B6" t="str">
            <v>Cinchos fijadores o abrazaderas, excepto lo reconocible como diseñados exclusivamente para uso automotriz.</v>
          </cell>
          <cell r="C6" t="str">
            <v>Ex.</v>
          </cell>
          <cell r="E6" t="str">
            <v xml:space="preserve">Ex. </v>
          </cell>
        </row>
        <row r="7">
          <cell r="A7" t="str">
            <v>4016.99.01</v>
          </cell>
          <cell r="B7" t="str">
            <v>Arandelas, válvulas u otras piezas de uso técnico, excepto artículos reconocibles como diseñados exclusivamente para ser utilizados en el moldeo de neumáticos nuevos ("Bladers").</v>
          </cell>
          <cell r="C7" t="str">
            <v>Ex.</v>
          </cell>
          <cell r="E7" t="str">
            <v xml:space="preserve">Ex. </v>
          </cell>
        </row>
        <row r="8">
          <cell r="A8" t="str">
            <v>4415.20.02</v>
          </cell>
          <cell r="B8" t="str">
            <v>Paletas, paletas caja y demás plataformas para carga; collarines para paletas.</v>
          </cell>
          <cell r="C8" t="str">
            <v>Ex.</v>
          </cell>
          <cell r="D8" t="str">
            <v>Excepto: Collarines para paletas.</v>
          </cell>
          <cell r="E8" t="str">
            <v>Ex. Excepto: Collarines para paletas.</v>
          </cell>
        </row>
        <row r="9">
          <cell r="A9" t="str">
            <v>6805.20.01</v>
          </cell>
          <cell r="B9" t="str">
            <v>Con soporte constituido solamente por papel o cartón.</v>
          </cell>
          <cell r="C9" t="str">
            <v>Ex.</v>
          </cell>
          <cell r="E9" t="str">
            <v xml:space="preserve">Ex. </v>
          </cell>
        </row>
        <row r="10">
          <cell r="A10" t="str">
            <v>6805.30.01</v>
          </cell>
          <cell r="B10" t="str">
            <v>Con soporte de otras materias.</v>
          </cell>
          <cell r="C10" t="str">
            <v>Ex.</v>
          </cell>
          <cell r="E10" t="str">
            <v xml:space="preserve">Ex. </v>
          </cell>
        </row>
        <row r="11">
          <cell r="A11" t="str">
            <v>7006.00.04</v>
          </cell>
          <cell r="B11" t="str">
            <v>Vidrio de las partidas 70.03, 70.04 o 70.05, curvado, biselado, grabado, taladrado, esmaltado o trabajado de otro modo, pero sin enmarcar ni combinar con otras materias.</v>
          </cell>
          <cell r="C11">
            <v>5</v>
          </cell>
          <cell r="D11" t="str">
            <v>Excepto: Estriado, ondulado y estampado; flotado claro; flotado, coloreados en la masa.</v>
          </cell>
          <cell r="E11" t="str">
            <v>5 Excepto: Estriado, ondulado y estampado; flotado claro; flotado, coloreados en la masa.</v>
          </cell>
        </row>
        <row r="12">
          <cell r="A12" t="str">
            <v>7318.15.04</v>
          </cell>
          <cell r="B12" t="str">
            <v>Tornillos con diámetro inferior a 6.4 mm (¼ pulgada) y longitud inferior a 50.8 mm (2 pulgadas), excepto las de acero inoxidable y las reconocibles para naves aéreas o uso automotriz.</v>
          </cell>
          <cell r="C12" t="str">
            <v>Ex.</v>
          </cell>
          <cell r="E12" t="str">
            <v xml:space="preserve">Ex. </v>
          </cell>
        </row>
        <row r="13">
          <cell r="A13" t="str">
            <v>7616.99.99</v>
          </cell>
          <cell r="B13" t="str">
            <v>Las demás.</v>
          </cell>
          <cell r="C13" t="str">
            <v>Ex.</v>
          </cell>
          <cell r="E13" t="str">
            <v xml:space="preserve">Ex. </v>
          </cell>
        </row>
        <row r="14">
          <cell r="A14" t="str">
            <v>8302.10.01</v>
          </cell>
          <cell r="B14" t="str">
            <v>Con mecanismos de resortes, excepto lo comprendido en la fracción arancelaria 8302.10.02.</v>
          </cell>
          <cell r="C14">
            <v>5</v>
          </cell>
          <cell r="E14" t="str">
            <v xml:space="preserve">5 </v>
          </cell>
        </row>
        <row r="15">
          <cell r="A15" t="str">
            <v>8302.20.02</v>
          </cell>
          <cell r="B15" t="str">
            <v>Ruedas.</v>
          </cell>
          <cell r="C15" t="str">
            <v>Ex.</v>
          </cell>
          <cell r="D15" t="str">
            <v>Excepto: Para muebles.</v>
          </cell>
          <cell r="E15" t="str">
            <v>Ex. Excepto: Para muebles.</v>
          </cell>
        </row>
        <row r="16">
          <cell r="A16" t="str">
            <v>8305.20.01</v>
          </cell>
          <cell r="B16" t="str">
            <v>Grapas en tiras.</v>
          </cell>
          <cell r="C16">
            <v>5</v>
          </cell>
          <cell r="E16" t="str">
            <v xml:space="preserve">5 </v>
          </cell>
        </row>
        <row r="17">
          <cell r="A17" t="str">
            <v>8414.59.99</v>
          </cell>
          <cell r="B17" t="str">
            <v>Los demás.</v>
          </cell>
          <cell r="C17" t="str">
            <v>Ex.</v>
          </cell>
          <cell r="E17" t="str">
            <v xml:space="preserve">Ex. </v>
          </cell>
        </row>
        <row r="18">
          <cell r="A18" t="str">
            <v>8414.70.02</v>
          </cell>
          <cell r="B18" t="str">
            <v>Filtros.</v>
          </cell>
          <cell r="C18" t="str">
            <v>Ex.</v>
          </cell>
          <cell r="E18" t="str">
            <v xml:space="preserve">Ex. </v>
          </cell>
        </row>
        <row r="19">
          <cell r="A19" t="str">
            <v>8421.32.99</v>
          </cell>
          <cell r="B19" t="str">
            <v>Los demás.</v>
          </cell>
          <cell r="C19" t="str">
            <v>Ex.</v>
          </cell>
          <cell r="E19" t="str">
            <v xml:space="preserve">Ex. </v>
          </cell>
        </row>
        <row r="20">
          <cell r="A20" t="str">
            <v>8421.39.99</v>
          </cell>
          <cell r="B20" t="str">
            <v>Las demás.</v>
          </cell>
          <cell r="C20" t="str">
            <v>Ex.</v>
          </cell>
          <cell r="D20" t="str">
            <v>Excepto: Depuradores ciclón; purificadores de aire, sin dispositivos que modifiquen temperatura y/o humedad, reconocibles como diseñados exclusivamente para campanas aspirantes de uso doméstico.</v>
          </cell>
          <cell r="E20" t="str">
            <v>Ex. Excepto: Depuradores ciclón; purificadores de aire, sin dispositivos que modifiquen temperatura y/o humedad, reconocibles como diseñados exclusivamente para campanas aspirantes de uso doméstico.</v>
          </cell>
        </row>
        <row r="21">
          <cell r="A21" t="str">
            <v>8481.80.99</v>
          </cell>
          <cell r="B21" t="str">
            <v>Los demás.</v>
          </cell>
          <cell r="C21" t="str">
            <v>Ex.</v>
          </cell>
          <cell r="E21" t="str">
            <v xml:space="preserve">Ex. </v>
          </cell>
        </row>
        <row r="22">
          <cell r="A22" t="str">
            <v>8501.31.99</v>
          </cell>
          <cell r="B22" t="str">
            <v>Los demás.</v>
          </cell>
          <cell r="C22" t="str">
            <v>Ex.</v>
          </cell>
          <cell r="E22" t="str">
            <v xml:space="preserve">Ex. </v>
          </cell>
        </row>
        <row r="23">
          <cell r="A23" t="str">
            <v>8504.40.99</v>
          </cell>
          <cell r="B23" t="str">
            <v>Los demás.</v>
          </cell>
          <cell r="C23" t="str">
            <v>Ex.</v>
          </cell>
          <cell r="E23" t="str">
            <v xml:space="preserve">Ex. </v>
          </cell>
        </row>
        <row r="24">
          <cell r="A24" t="str">
            <v>8505.20.01</v>
          </cell>
          <cell r="B24" t="str">
            <v>Acoplamientos, embragues, variadores de velocidad y frenos, electromagnéticos.</v>
          </cell>
          <cell r="C24" t="str">
            <v>Ex.</v>
          </cell>
          <cell r="E24" t="str">
            <v xml:space="preserve">Ex. </v>
          </cell>
        </row>
        <row r="25">
          <cell r="A25" t="str">
            <v>8523.29.91</v>
          </cell>
          <cell r="B25" t="str">
            <v>Las demás cintas magnéticas grabadas.</v>
          </cell>
          <cell r="C25" t="str">
            <v>Ex.</v>
          </cell>
          <cell r="D25" t="str">
            <v>Excepto: Cintas magnéticas grabadas, reconocibles como diseñadas exclusivamente para ser utilizadas en “video tape”, cuando se presenten en cartuchos o casetes.</v>
          </cell>
          <cell r="E25" t="str">
            <v>Ex. Excepto: Cintas magnéticas grabadas, reconocibles como diseñadas exclusivamente para ser utilizadas en “video tape”, cuando se presenten en cartuchos o casetes.</v>
          </cell>
        </row>
        <row r="26">
          <cell r="A26" t="str">
            <v>8523.51.99</v>
          </cell>
          <cell r="B26" t="str">
            <v>Los demás.</v>
          </cell>
          <cell r="C26" t="str">
            <v>Ex.</v>
          </cell>
          <cell r="E26" t="str">
            <v xml:space="preserve">Ex. </v>
          </cell>
        </row>
        <row r="27">
          <cell r="A27" t="str">
            <v>8531.10.99</v>
          </cell>
          <cell r="B27" t="str">
            <v>Los demás.</v>
          </cell>
          <cell r="C27" t="str">
            <v>Ex.</v>
          </cell>
          <cell r="D27" t="str">
            <v>Excepto: Detectores electrónicos de humo, de monóxido de carbono, o de calor.</v>
          </cell>
          <cell r="E27" t="str">
            <v>Ex. Excepto: Detectores electrónicos de humo, de monóxido de carbono, o de calor.</v>
          </cell>
        </row>
        <row r="28">
          <cell r="A28" t="str">
            <v>8539.39.99</v>
          </cell>
          <cell r="B28" t="str">
            <v>Los demás.</v>
          </cell>
          <cell r="C28" t="str">
            <v>Ex.</v>
          </cell>
          <cell r="E28" t="str">
            <v xml:space="preserve">Ex. </v>
          </cell>
        </row>
        <row r="29">
          <cell r="A29" t="str">
            <v>9006.53.99</v>
          </cell>
          <cell r="B29" t="str">
            <v>Las demás.</v>
          </cell>
          <cell r="C29" t="str">
            <v>Ex.</v>
          </cell>
          <cell r="D29" t="str">
            <v>Excepto: Con visor de reflexión a través del objetivo, para películas en rollo de anchura inferior o igual a 35 mm.</v>
          </cell>
          <cell r="E29" t="str">
            <v>Ex. Excepto: Con visor de reflexión a través del objetivo, para películas en rollo de anchura inferior o igual a 35 mm.</v>
          </cell>
        </row>
        <row r="30">
          <cell r="A30" t="str">
            <v>9006.59.01</v>
          </cell>
          <cell r="B30" t="str">
            <v>Para películas en rollo de anchura inferior a 35 mm, excepto las utilizados para registrar documentos en microfilmes, microfichas u otros microformatos.</v>
          </cell>
          <cell r="C30" t="str">
            <v>Ex.</v>
          </cell>
          <cell r="E30" t="str">
            <v xml:space="preserve">Ex. </v>
          </cell>
        </row>
        <row r="31">
          <cell r="A31" t="str">
            <v>9031.80.01</v>
          </cell>
          <cell r="B31" t="str">
            <v>Controles fotoeléctricos.</v>
          </cell>
          <cell r="C31" t="str">
            <v>Ex.</v>
          </cell>
          <cell r="E31" t="str">
            <v xml:space="preserve">Ex. </v>
          </cell>
        </row>
        <row r="32">
          <cell r="A32" t="str">
            <v>9032.10.99</v>
          </cell>
          <cell r="B32" t="str">
            <v>Los demás.</v>
          </cell>
          <cell r="C32" t="str">
            <v>Ex.</v>
          </cell>
          <cell r="D32" t="str">
            <v>Excepto: Para estufas y caloríficos.</v>
          </cell>
          <cell r="E32" t="str">
            <v>Ex. Excepto: Para estufas y caloríficos.</v>
          </cell>
        </row>
        <row r="33">
          <cell r="A33" t="str">
            <v>9032.89.99</v>
          </cell>
          <cell r="B33" t="str">
            <v>Los demás.</v>
          </cell>
          <cell r="C33" t="str">
            <v>Ex.</v>
          </cell>
          <cell r="E33" t="str">
            <v xml:space="preserve">Ex. </v>
          </cell>
        </row>
      </sheetData>
      <sheetData sheetId="12">
        <row r="1">
          <cell r="A1" t="str">
            <v>CÓDIGO</v>
          </cell>
          <cell r="B1" t="str">
            <v>DESCRIPCIÓN</v>
          </cell>
          <cell r="C1" t="str">
            <v>ARANCEL</v>
          </cell>
          <cell r="D1" t="str">
            <v>ACOTACIÓN</v>
          </cell>
        </row>
        <row r="2">
          <cell r="C2" t="str">
            <v>(%)</v>
          </cell>
          <cell r="E2" t="str">
            <v>EX/ACO</v>
          </cell>
        </row>
        <row r="3">
          <cell r="A3" t="str">
            <v>3917.33.99</v>
          </cell>
          <cell r="B3" t="str">
            <v>Los demás.</v>
          </cell>
          <cell r="C3" t="str">
            <v>Ex.</v>
          </cell>
          <cell r="E3" t="str">
            <v xml:space="preserve">Ex. </v>
          </cell>
        </row>
        <row r="4">
          <cell r="A4" t="str">
            <v>3923.40.99</v>
          </cell>
          <cell r="B4" t="str">
            <v>Los demás.</v>
          </cell>
          <cell r="C4" t="str">
            <v>Ex.</v>
          </cell>
          <cell r="E4" t="str">
            <v xml:space="preserve">Ex. </v>
          </cell>
        </row>
        <row r="5">
          <cell r="A5" t="str">
            <v>3923.50.01</v>
          </cell>
          <cell r="B5" t="str">
            <v>Tapones, tapas, cápsulas y demás dispositivos de cierre.</v>
          </cell>
          <cell r="C5" t="str">
            <v>Ex.</v>
          </cell>
          <cell r="E5" t="str">
            <v xml:space="preserve">Ex. </v>
          </cell>
        </row>
        <row r="6">
          <cell r="A6" t="str">
            <v>3923.90.99</v>
          </cell>
          <cell r="B6" t="str">
            <v>Los demás.</v>
          </cell>
          <cell r="C6" t="str">
            <v>Ex.</v>
          </cell>
          <cell r="E6" t="str">
            <v xml:space="preserve">Ex. </v>
          </cell>
        </row>
        <row r="7">
          <cell r="A7" t="str">
            <v>3926.90.14</v>
          </cell>
          <cell r="B7" t="str">
            <v>Cinchos fijadores o abrazaderas, excepto lo reconocible como diseñados exclusivamente para uso automotriz.</v>
          </cell>
          <cell r="C7" t="str">
            <v>Ex.</v>
          </cell>
          <cell r="E7" t="str">
            <v xml:space="preserve">Ex. </v>
          </cell>
        </row>
        <row r="8">
          <cell r="A8" t="str">
            <v>4016.99.01</v>
          </cell>
          <cell r="B8" t="str">
            <v>Arandelas, válvulas u otras piezas de uso técnico, excepto artículos reconocibles como diseñados exclusivamente para ser utilizados en el moldeo de neumáticos nuevos ("Bladers").</v>
          </cell>
          <cell r="C8" t="str">
            <v>Ex.</v>
          </cell>
          <cell r="E8" t="str">
            <v xml:space="preserve">Ex. </v>
          </cell>
        </row>
        <row r="9">
          <cell r="A9" t="str">
            <v>4908.90.99</v>
          </cell>
          <cell r="B9" t="str">
            <v>Las demás.</v>
          </cell>
          <cell r="C9" t="str">
            <v>Ex.</v>
          </cell>
          <cell r="E9" t="str">
            <v xml:space="preserve">Ex. </v>
          </cell>
        </row>
        <row r="10">
          <cell r="A10" t="str">
            <v>5911.90.99</v>
          </cell>
          <cell r="B10" t="str">
            <v>Los demás.</v>
          </cell>
          <cell r="C10" t="str">
            <v>Ex.</v>
          </cell>
          <cell r="D10" t="str">
            <v>Únicamente: Juntas, arandelas, membranas, discos, manguitos o artículos análogos para usos técnicos.</v>
          </cell>
          <cell r="E10" t="str">
            <v>Ex. Únicamente: Juntas, arandelas, membranas, discos, manguitos o artículos análogos para usos técnicos.</v>
          </cell>
        </row>
        <row r="11">
          <cell r="A11" t="str">
            <v>6805.10.01</v>
          </cell>
          <cell r="B11" t="str">
            <v>Con soporte constituido solamente por tejido de materia textil.</v>
          </cell>
          <cell r="C11" t="str">
            <v>Ex.</v>
          </cell>
          <cell r="D11" t="str">
            <v>Excepto: De anchura superior a 1,800 mm.</v>
          </cell>
          <cell r="E11" t="str">
            <v>Ex. Excepto: De anchura superior a 1,800 mm.</v>
          </cell>
        </row>
        <row r="12">
          <cell r="A12" t="str">
            <v>6805.30.01</v>
          </cell>
          <cell r="B12" t="str">
            <v>Con soporte de otras materias.</v>
          </cell>
          <cell r="C12" t="str">
            <v>Ex.</v>
          </cell>
          <cell r="E12" t="str">
            <v xml:space="preserve">Ex. </v>
          </cell>
        </row>
        <row r="13">
          <cell r="A13" t="str">
            <v>6813.81.99</v>
          </cell>
          <cell r="B13" t="str">
            <v>Las demás.</v>
          </cell>
          <cell r="C13" t="str">
            <v>Ex.</v>
          </cell>
          <cell r="E13" t="str">
            <v xml:space="preserve">Ex. </v>
          </cell>
        </row>
        <row r="14">
          <cell r="A14" t="str">
            <v>7306.30.99</v>
          </cell>
          <cell r="B14" t="str">
            <v>Los demás.</v>
          </cell>
          <cell r="C14" t="str">
            <v>Ex.</v>
          </cell>
          <cell r="E14" t="str">
            <v xml:space="preserve">Ex. </v>
          </cell>
        </row>
        <row r="15">
          <cell r="A15" t="str">
            <v>7318.15.04</v>
          </cell>
          <cell r="B15" t="str">
            <v>Tornillos con diámetro inferior a 6.4 mm (¼ pulgada) y longitud inferior a 50.8 mm (2 pulgadas), excepto las de acero inoxidable y las reconocibles para naves aéreas o uso automotriz.</v>
          </cell>
          <cell r="C15" t="str">
            <v>Ex.</v>
          </cell>
          <cell r="E15" t="str">
            <v xml:space="preserve">Ex. </v>
          </cell>
        </row>
        <row r="16">
          <cell r="A16" t="str">
            <v>7411.21.01</v>
          </cell>
          <cell r="B16" t="str">
            <v>Con espesor de pared inferior o igual a 3 mm, excepto serpentines y lo comprendido en la fracción arancelaria 7411.21.05.</v>
          </cell>
          <cell r="C16" t="str">
            <v>Ex.</v>
          </cell>
          <cell r="E16" t="str">
            <v xml:space="preserve">Ex. </v>
          </cell>
        </row>
        <row r="17">
          <cell r="A17" t="str">
            <v>7412.20.01</v>
          </cell>
          <cell r="B17" t="str">
            <v>De aleaciones de cobre.</v>
          </cell>
          <cell r="C17" t="str">
            <v>Ex.</v>
          </cell>
          <cell r="E17" t="str">
            <v xml:space="preserve">Ex. </v>
          </cell>
        </row>
        <row r="18">
          <cell r="A18" t="str">
            <v>7616.99.99</v>
          </cell>
          <cell r="B18" t="str">
            <v>Las demás.</v>
          </cell>
          <cell r="C18" t="str">
            <v>Ex.</v>
          </cell>
          <cell r="E18" t="str">
            <v xml:space="preserve">Ex. </v>
          </cell>
        </row>
        <row r="19">
          <cell r="A19" t="str">
            <v>8302.30.91</v>
          </cell>
          <cell r="B19" t="str">
            <v>Las demás guarniciones, herrajes y artículos similares, para vehículos automóviles.</v>
          </cell>
          <cell r="C19" t="str">
            <v>Ex.</v>
          </cell>
          <cell r="E19" t="str">
            <v xml:space="preserve">Ex. </v>
          </cell>
        </row>
        <row r="20">
          <cell r="A20" t="str">
            <v>8307.90.91</v>
          </cell>
          <cell r="B20" t="str">
            <v>De los demás metales comunes.</v>
          </cell>
          <cell r="C20" t="str">
            <v>Ex.</v>
          </cell>
          <cell r="E20" t="str">
            <v xml:space="preserve">Ex. </v>
          </cell>
        </row>
        <row r="21">
          <cell r="A21" t="str">
            <v>8309.90.99</v>
          </cell>
          <cell r="B21" t="str">
            <v>Los demás.</v>
          </cell>
          <cell r="C21" t="str">
            <v>Ex.</v>
          </cell>
          <cell r="D21" t="str">
            <v>Únicamente: Tapones sin cerradura, para tanques de gasolina.</v>
          </cell>
          <cell r="E21" t="str">
            <v>Ex. Únicamente: Tapones sin cerradura, para tanques de gasolina.</v>
          </cell>
        </row>
        <row r="22">
          <cell r="A22" t="str">
            <v>8310.00.01</v>
          </cell>
          <cell r="B22" t="str">
            <v>Emblemas o monogramas para vehículos automóviles.</v>
          </cell>
          <cell r="C22" t="str">
            <v>Ex.</v>
          </cell>
          <cell r="E22" t="str">
            <v xml:space="preserve">Ex. </v>
          </cell>
        </row>
        <row r="23">
          <cell r="A23" t="str">
            <v>8409.99.99</v>
          </cell>
          <cell r="B23" t="str">
            <v>Las demás.</v>
          </cell>
          <cell r="C23" t="str">
            <v>Ex.</v>
          </cell>
          <cell r="E23" t="str">
            <v xml:space="preserve">Ex. </v>
          </cell>
        </row>
        <row r="24">
          <cell r="A24" t="str">
            <v>8414.70.02</v>
          </cell>
          <cell r="B24" t="str">
            <v>Filtros.</v>
          </cell>
          <cell r="C24" t="str">
            <v>Ex.</v>
          </cell>
          <cell r="E24" t="str">
            <v xml:space="preserve">Ex. </v>
          </cell>
        </row>
        <row r="25">
          <cell r="A25" t="str">
            <v>8419.89.03</v>
          </cell>
          <cell r="B25" t="str">
            <v>Torres de enfriamiento, excepto las reconocibles como diseñadas para la separación y eliminación de contaminantes.</v>
          </cell>
          <cell r="C25" t="str">
            <v>Ex.</v>
          </cell>
          <cell r="E25" t="str">
            <v xml:space="preserve">Ex. </v>
          </cell>
        </row>
        <row r="26">
          <cell r="A26" t="str">
            <v>8421.21.99</v>
          </cell>
          <cell r="B26" t="str">
            <v>Los demás.</v>
          </cell>
          <cell r="C26" t="str">
            <v>Ex.</v>
          </cell>
          <cell r="D26" t="str">
            <v>Excepto: Para albercas.</v>
          </cell>
          <cell r="E26" t="str">
            <v>Ex. Excepto: Para albercas.</v>
          </cell>
        </row>
        <row r="27">
          <cell r="A27" t="str">
            <v>8421.23.01</v>
          </cell>
          <cell r="B27" t="str">
            <v>Para filtrar lubricantes o carburantes en los motores de encendido por chispa o compresión.</v>
          </cell>
          <cell r="C27" t="str">
            <v>Ex.</v>
          </cell>
          <cell r="E27" t="str">
            <v xml:space="preserve">Ex. </v>
          </cell>
        </row>
        <row r="28">
          <cell r="A28" t="str">
            <v>8421.31.99</v>
          </cell>
          <cell r="B28" t="str">
            <v>Los demás.</v>
          </cell>
          <cell r="C28" t="str">
            <v>Ex.</v>
          </cell>
          <cell r="E28" t="str">
            <v xml:space="preserve">Ex. </v>
          </cell>
        </row>
        <row r="29">
          <cell r="A29" t="str">
            <v>8421.32.99</v>
          </cell>
          <cell r="B29" t="str">
            <v>Los demás.</v>
          </cell>
          <cell r="C29" t="str">
            <v>Ex.</v>
          </cell>
          <cell r="E29" t="str">
            <v xml:space="preserve">Ex. </v>
          </cell>
        </row>
        <row r="30">
          <cell r="A30" t="str">
            <v>8421.39.99</v>
          </cell>
          <cell r="B30" t="str">
            <v>Las demás.</v>
          </cell>
          <cell r="C30" t="str">
            <v>Ex.</v>
          </cell>
          <cell r="D30" t="str">
            <v>Excepto: Depuradores ciclón; purificadores de aire, sin dispositivos que modifiquen temperatura y/o humedad, reconocibles como diseñados exclusivamente para campanas aspirantes de uso doméstico.</v>
          </cell>
          <cell r="E30" t="str">
            <v>Ex. Excepto: Depuradores ciclón; purificadores de aire, sin dispositivos que modifiquen temperatura y/o humedad, reconocibles como diseñados exclusivamente para campanas aspirantes de uso doméstico.</v>
          </cell>
        </row>
        <row r="31">
          <cell r="A31" t="str">
            <v>8481.80.02</v>
          </cell>
          <cell r="B31" t="str">
            <v>Grifería sanitaria de uso doméstico.</v>
          </cell>
          <cell r="C31" t="str">
            <v>Ex.</v>
          </cell>
          <cell r="E31" t="str">
            <v xml:space="preserve">Ex. </v>
          </cell>
        </row>
        <row r="32">
          <cell r="A32" t="str">
            <v>8481.80.07</v>
          </cell>
          <cell r="B32" t="str">
            <v>Boquillas o espreas para aspersión.</v>
          </cell>
          <cell r="C32" t="str">
            <v>Ex.</v>
          </cell>
          <cell r="E32" t="str">
            <v xml:space="preserve">Ex. </v>
          </cell>
        </row>
        <row r="33">
          <cell r="A33" t="str">
            <v>8481.80.99</v>
          </cell>
          <cell r="B33" t="str">
            <v>Los demás.</v>
          </cell>
          <cell r="C33" t="str">
            <v>Ex.</v>
          </cell>
          <cell r="E33" t="str">
            <v xml:space="preserve">Ex. </v>
          </cell>
        </row>
        <row r="34">
          <cell r="A34" t="str">
            <v>8482.10.02</v>
          </cell>
          <cell r="B34" t="str">
            <v>En fila sencilla con diámetro interior superior o igual a 12.7 mm, sin exceder de 50.8 mm y diámetro exterior superior o igual a 40 mm, sin exceder de 100 mm, con superficie exterior esférica, excepto los de centro de eje cuadrado.</v>
          </cell>
          <cell r="C34" t="str">
            <v>Ex.</v>
          </cell>
          <cell r="E34" t="str">
            <v xml:space="preserve">Ex. </v>
          </cell>
        </row>
        <row r="35">
          <cell r="A35" t="str">
            <v>8482.20.01</v>
          </cell>
          <cell r="B35" t="str">
            <v>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arancelaria, según las Normas Internacionales ANSI-ABMA Standard 19.1, ANSI-ABMA Standard 19.2 o ISO 355, incluyendo los que contengan números y/o letras posteriores a los números de serie y códigos indicados, excepto los reconocibles para naves aéreas.</v>
          </cell>
          <cell r="C35" t="str">
            <v>Ex.</v>
          </cell>
          <cell r="E35" t="str">
            <v xml:space="preserve">Ex. </v>
          </cell>
        </row>
        <row r="36">
          <cell r="A36" t="str">
            <v>8482.99.01</v>
          </cell>
          <cell r="B36" t="str">
            <v>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v>
          </cell>
          <cell r="C36" t="str">
            <v>Ex.</v>
          </cell>
          <cell r="E36" t="str">
            <v xml:space="preserve">Ex. </v>
          </cell>
        </row>
        <row r="37">
          <cell r="A37" t="str">
            <v>8483.60.99</v>
          </cell>
          <cell r="B37" t="str">
            <v>Los demás.</v>
          </cell>
          <cell r="C37" t="str">
            <v>Ex.</v>
          </cell>
          <cell r="E37" t="str">
            <v xml:space="preserve">Ex. </v>
          </cell>
        </row>
        <row r="38">
          <cell r="A38" t="str">
            <v>8484.10.01</v>
          </cell>
          <cell r="B38" t="str">
            <v>Juntas metaloplásticas.</v>
          </cell>
          <cell r="C38" t="str">
            <v>Ex.</v>
          </cell>
          <cell r="E38" t="str">
            <v xml:space="preserve">Ex. </v>
          </cell>
        </row>
        <row r="39">
          <cell r="A39" t="str">
            <v>8487.90.01</v>
          </cell>
          <cell r="B39" t="str">
            <v>Cilindros hidráulicos.</v>
          </cell>
          <cell r="C39" t="str">
            <v>Ex.</v>
          </cell>
          <cell r="E39" t="str">
            <v xml:space="preserve">Ex. </v>
          </cell>
        </row>
        <row r="40">
          <cell r="A40" t="str">
            <v>8487.90.99</v>
          </cell>
          <cell r="B40" t="str">
            <v>Las demás.</v>
          </cell>
          <cell r="C40" t="str">
            <v>Ex.</v>
          </cell>
          <cell r="E40" t="str">
            <v xml:space="preserve">Ex. </v>
          </cell>
        </row>
        <row r="41">
          <cell r="A41" t="str">
            <v>8504.40.99</v>
          </cell>
          <cell r="B41" t="str">
            <v>Los demás.</v>
          </cell>
          <cell r="C41" t="str">
            <v>Ex.</v>
          </cell>
          <cell r="E41" t="str">
            <v xml:space="preserve">Ex. </v>
          </cell>
        </row>
        <row r="42">
          <cell r="A42" t="str">
            <v>8512.20.99</v>
          </cell>
          <cell r="B42" t="str">
            <v>Los demás.</v>
          </cell>
          <cell r="C42" t="str">
            <v>Ex.</v>
          </cell>
          <cell r="E42" t="str">
            <v xml:space="preserve">Ex. </v>
          </cell>
        </row>
        <row r="43">
          <cell r="A43" t="str">
            <v>8536.41.03</v>
          </cell>
          <cell r="B43" t="str">
            <v>Térmicos o por inducción.</v>
          </cell>
          <cell r="C43" t="str">
            <v>Ex.</v>
          </cell>
          <cell r="E43" t="str">
            <v xml:space="preserve">Ex. </v>
          </cell>
        </row>
        <row r="44">
          <cell r="A44" t="str">
            <v>8544.30.99</v>
          </cell>
          <cell r="B44" t="str">
            <v>Los demás.</v>
          </cell>
          <cell r="C44" t="str">
            <v>Ex.</v>
          </cell>
          <cell r="D44" t="str">
            <v>Excepto: Arneses reconocibles como diseñados exclusivamente para uso automotriz.</v>
          </cell>
          <cell r="E44" t="str">
            <v>Ex. Excepto: Arneses reconocibles como diseñados exclusivamente para uso automotriz.</v>
          </cell>
        </row>
        <row r="45">
          <cell r="A45" t="str">
            <v>8544.42.99</v>
          </cell>
          <cell r="B45" t="str">
            <v>Los demás.</v>
          </cell>
          <cell r="C45" t="str">
            <v>Ex.</v>
          </cell>
          <cell r="D45" t="str">
            <v>Excepto: Formas de cables cortados y atados (arneses), para la conexión de centrales telefónicas; cables termopar o sus cables de extensión; arneses y cables eléctricos, para conducción o distribución de corriente eléctrica en aparatos electrodomésticos o de medición.</v>
          </cell>
          <cell r="E45" t="str">
            <v>Ex. Excepto: Formas de cables cortados y atados (arneses), para la conexión de centrales telefónicas; cables termopar o sus cables de extensión; arneses y cables eléctricos, para conducción o distribución de corriente eléctrica en aparatos electrodomésticos o de medición.</v>
          </cell>
        </row>
        <row r="46">
          <cell r="A46" t="str">
            <v>8708.40.99</v>
          </cell>
          <cell r="B46" t="str">
            <v>Las demás.</v>
          </cell>
          <cell r="C46" t="str">
            <v>Ex.</v>
          </cell>
          <cell r="D46" t="str">
            <v>Únicamente: Engranes.</v>
          </cell>
          <cell r="E46" t="str">
            <v>Ex. Únicamente: Engranes.</v>
          </cell>
        </row>
        <row r="47">
          <cell r="A47" t="str">
            <v>8708.50.99</v>
          </cell>
          <cell r="B47" t="str">
            <v>Los demás.</v>
          </cell>
          <cell r="C47" t="str">
            <v>Ex.</v>
          </cell>
          <cell r="D47" t="str">
            <v>Excepto: Fundas para ejes traseros; flechas semiejes, acoplables al mecanismo diferencial, incluso las de velocidad constante (homocinéticas) y sus partes componentes; juntas universales, tipo cardán para cruceta; ejes cardánicos; fundiciones (esbozos) de funda para eje trasero motriz de vehículos con capacidad de carga superior o igual a 7,258 kg (16,000 libras), pero inferior o igual a 20,884 kg (46,000 libras).</v>
          </cell>
          <cell r="E47" t="str">
            <v>Ex. Excepto: Fundas para ejes traseros; flechas semiejes, acoplables al mecanismo diferencial, incluso las de velocidad constante (homocinéticas) y sus partes componentes; juntas universales, tipo cardán para cruceta; ejes cardánicos; fundiciones (esbozos) de funda para eje trasero motriz de vehículos con capacidad de carga superior o igual a 7,258 kg (16,000 libras), pero inferior o igual a 20,884 kg (46,000 libras).</v>
          </cell>
        </row>
        <row r="48">
          <cell r="A48" t="str">
            <v>8708.80.07</v>
          </cell>
          <cell r="B48" t="str">
            <v>Horquillas, brazos, excéntricos o pernos, para el sistema de suspensión delantera.</v>
          </cell>
          <cell r="C48" t="str">
            <v>Ex.</v>
          </cell>
          <cell r="E48" t="str">
            <v xml:space="preserve">Ex. </v>
          </cell>
        </row>
        <row r="49">
          <cell r="A49" t="str">
            <v>8708.91.99</v>
          </cell>
          <cell r="B49" t="str">
            <v>Los demás.</v>
          </cell>
          <cell r="C49" t="str">
            <v>Ex.</v>
          </cell>
          <cell r="E49" t="str">
            <v xml:space="preserve">Ex. </v>
          </cell>
        </row>
        <row r="50">
          <cell r="A50" t="str">
            <v>8708.99.04</v>
          </cell>
          <cell r="B50" t="str">
            <v>Tanques de combustible, excepto los reconocidos como exclusivamente para trolebuses o lo comprendido en la fracción arancelaria 8701.30.01.</v>
          </cell>
          <cell r="C50" t="str">
            <v>Ex.</v>
          </cell>
          <cell r="E50" t="str">
            <v xml:space="preserve">Ex. </v>
          </cell>
        </row>
        <row r="51">
          <cell r="A51" t="str">
            <v>9032.10.99</v>
          </cell>
          <cell r="B51" t="str">
            <v>Los demás.</v>
          </cell>
          <cell r="C51" t="str">
            <v>Ex.</v>
          </cell>
          <cell r="D51" t="str">
            <v>Excepto: Para estufas y caloríficos.</v>
          </cell>
          <cell r="E51" t="str">
            <v>Ex. Excepto: Para estufas y caloríficos.</v>
          </cell>
        </row>
        <row r="52">
          <cell r="A52" t="str">
            <v>9032.89.99</v>
          </cell>
          <cell r="B52" t="str">
            <v>Los demás.</v>
          </cell>
          <cell r="C52" t="str">
            <v>Ex.</v>
          </cell>
          <cell r="E52" t="str">
            <v xml:space="preserve">Ex. </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snice.gob.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904"/>
  <sheetViews>
    <sheetView showGridLines="0" tabSelected="1" zoomScale="90" zoomScaleNormal="90" workbookViewId="0">
      <pane xSplit="3" ySplit="9" topLeftCell="D10" activePane="bottomRight" state="frozen"/>
      <selection pane="topRight" activeCell="C1" sqref="C1"/>
      <selection pane="bottomLeft" activeCell="A3" sqref="A3"/>
      <selection pane="bottomRight" activeCell="E11" sqref="E11"/>
    </sheetView>
  </sheetViews>
  <sheetFormatPr baseColWidth="10" defaultRowHeight="15" x14ac:dyDescent="0.25"/>
  <cols>
    <col min="3" max="3" width="32.5703125" style="27" customWidth="1"/>
    <col min="4" max="4" width="12.85546875" customWidth="1"/>
    <col min="5" max="5" width="13.28515625" customWidth="1"/>
    <col min="8" max="8" width="12.85546875" customWidth="1"/>
    <col min="12" max="12" width="14.28515625" customWidth="1"/>
    <col min="13" max="13" width="19.140625" customWidth="1"/>
    <col min="14" max="14" width="15.5703125" customWidth="1"/>
    <col min="15" max="15" width="15.28515625" customWidth="1"/>
    <col min="24" max="24" width="21.7109375" customWidth="1"/>
    <col min="30" max="30" width="21.7109375" customWidth="1"/>
  </cols>
  <sheetData>
    <row r="1" spans="2:31" x14ac:dyDescent="0.25">
      <c r="D1" s="31" t="s">
        <v>1747</v>
      </c>
      <c r="E1" s="31"/>
      <c r="F1" s="31"/>
      <c r="G1" s="31"/>
      <c r="H1" s="31"/>
      <c r="I1" s="31"/>
      <c r="J1" s="31"/>
      <c r="K1" s="31"/>
      <c r="L1" s="31"/>
    </row>
    <row r="2" spans="2:31" ht="15" customHeight="1" x14ac:dyDescent="0.25">
      <c r="D2" s="31"/>
      <c r="E2" s="31"/>
      <c r="F2" s="31"/>
      <c r="G2" s="31"/>
      <c r="H2" s="31"/>
      <c r="I2" s="31"/>
      <c r="J2" s="31"/>
      <c r="K2" s="31"/>
      <c r="L2" s="31"/>
      <c r="O2" s="6"/>
    </row>
    <row r="3" spans="2:31" ht="5.25" customHeight="1" x14ac:dyDescent="0.25">
      <c r="D3" s="31"/>
      <c r="E3" s="31"/>
      <c r="F3" s="31"/>
      <c r="G3" s="31"/>
      <c r="H3" s="31"/>
      <c r="I3" s="31"/>
      <c r="J3" s="31"/>
      <c r="K3" s="31"/>
      <c r="L3" s="31"/>
      <c r="O3" s="5"/>
    </row>
    <row r="4" spans="2:31" ht="9.75" customHeight="1" x14ac:dyDescent="0.25">
      <c r="D4" s="31"/>
      <c r="E4" s="31"/>
      <c r="F4" s="31"/>
      <c r="G4" s="31"/>
      <c r="H4" s="31"/>
      <c r="I4" s="31"/>
      <c r="J4" s="31"/>
      <c r="K4" s="31"/>
      <c r="L4" s="31"/>
      <c r="O4" s="7"/>
    </row>
    <row r="5" spans="2:31" ht="21.75" customHeight="1" x14ac:dyDescent="0.25">
      <c r="D5" s="34" t="s">
        <v>1745</v>
      </c>
      <c r="E5" s="34"/>
      <c r="F5" s="34"/>
      <c r="G5" s="34"/>
      <c r="H5" s="34"/>
      <c r="I5" s="34"/>
      <c r="J5" s="34"/>
      <c r="K5" s="34"/>
      <c r="L5" s="34"/>
    </row>
    <row r="6" spans="2:31" x14ac:dyDescent="0.25">
      <c r="D6" s="34"/>
      <c r="E6" s="34"/>
      <c r="F6" s="34"/>
      <c r="G6" s="34"/>
      <c r="H6" s="34"/>
      <c r="I6" s="34"/>
      <c r="J6" s="34"/>
      <c r="K6" s="34"/>
      <c r="L6" s="34"/>
      <c r="M6" s="28" t="s">
        <v>1560</v>
      </c>
    </row>
    <row r="7" spans="2:31" ht="29.25" customHeight="1" thickBot="1" x14ac:dyDescent="0.3">
      <c r="D7" s="35"/>
      <c r="E7" s="35"/>
      <c r="F7" s="35"/>
      <c r="G7" s="35"/>
      <c r="H7" s="35"/>
      <c r="I7" s="35"/>
      <c r="J7" s="35"/>
      <c r="K7" s="35"/>
      <c r="L7" s="35"/>
      <c r="M7" s="29" t="s">
        <v>1561</v>
      </c>
    </row>
    <row r="8" spans="2:31" s="3" customFormat="1" ht="69.75" customHeight="1" thickBot="1" x14ac:dyDescent="0.3">
      <c r="B8" s="32" t="s">
        <v>0</v>
      </c>
      <c r="C8" s="33"/>
      <c r="D8" s="1" t="s">
        <v>1</v>
      </c>
      <c r="E8" s="1" t="s">
        <v>2</v>
      </c>
      <c r="F8" s="1" t="s">
        <v>2</v>
      </c>
      <c r="G8" s="1" t="s">
        <v>1743</v>
      </c>
      <c r="H8" s="1" t="s">
        <v>1744</v>
      </c>
      <c r="I8" s="1" t="s">
        <v>3</v>
      </c>
      <c r="J8" s="1" t="s">
        <v>4</v>
      </c>
      <c r="K8" s="1" t="s">
        <v>5</v>
      </c>
      <c r="L8" s="1" t="s">
        <v>6</v>
      </c>
      <c r="M8" s="1" t="s">
        <v>7</v>
      </c>
      <c r="N8" s="1" t="s">
        <v>8</v>
      </c>
      <c r="O8" s="1" t="s">
        <v>9</v>
      </c>
      <c r="P8" s="1" t="s">
        <v>10</v>
      </c>
      <c r="Q8" s="1" t="s">
        <v>11</v>
      </c>
      <c r="R8" s="1" t="s">
        <v>12</v>
      </c>
      <c r="S8" s="1" t="s">
        <v>1741</v>
      </c>
      <c r="T8" s="1" t="s">
        <v>1742</v>
      </c>
      <c r="U8" s="1" t="s">
        <v>13</v>
      </c>
      <c r="V8" s="1" t="s">
        <v>14</v>
      </c>
      <c r="W8" s="1" t="s">
        <v>15</v>
      </c>
      <c r="X8" s="1" t="s">
        <v>16</v>
      </c>
      <c r="Y8" s="1" t="s">
        <v>17</v>
      </c>
      <c r="Z8" s="1" t="s">
        <v>18</v>
      </c>
      <c r="AA8" s="1" t="s">
        <v>19</v>
      </c>
      <c r="AB8" s="1" t="s">
        <v>20</v>
      </c>
      <c r="AC8" s="1" t="s">
        <v>21</v>
      </c>
      <c r="AD8" s="1" t="s">
        <v>22</v>
      </c>
      <c r="AE8" s="2"/>
    </row>
    <row r="9" spans="2:31" s="3" customFormat="1" ht="14.25" thickBot="1" x14ac:dyDescent="0.3">
      <c r="B9" s="11" t="s">
        <v>23</v>
      </c>
      <c r="C9" s="11" t="s">
        <v>24</v>
      </c>
      <c r="D9" s="4" t="s">
        <v>25</v>
      </c>
      <c r="E9" s="4" t="s">
        <v>26</v>
      </c>
      <c r="F9" s="4" t="s">
        <v>27</v>
      </c>
      <c r="G9" s="4" t="s">
        <v>28</v>
      </c>
      <c r="H9" s="4" t="s">
        <v>29</v>
      </c>
      <c r="I9" s="4" t="s">
        <v>30</v>
      </c>
      <c r="J9" s="4" t="s">
        <v>31</v>
      </c>
      <c r="K9" s="4" t="s">
        <v>32</v>
      </c>
      <c r="L9" s="4" t="s">
        <v>33</v>
      </c>
      <c r="M9" s="4" t="s">
        <v>34</v>
      </c>
      <c r="N9" s="4" t="s">
        <v>35</v>
      </c>
      <c r="O9" s="4" t="s">
        <v>36</v>
      </c>
      <c r="P9" s="4" t="s">
        <v>37</v>
      </c>
      <c r="Q9" s="4" t="s">
        <v>38</v>
      </c>
      <c r="R9" s="4" t="s">
        <v>39</v>
      </c>
      <c r="S9" s="4" t="s">
        <v>40</v>
      </c>
      <c r="T9" s="4" t="s">
        <v>41</v>
      </c>
      <c r="U9" s="4" t="s">
        <v>42</v>
      </c>
      <c r="V9" s="4" t="s">
        <v>43</v>
      </c>
      <c r="W9" s="4" t="s">
        <v>44</v>
      </c>
      <c r="X9" s="4" t="s">
        <v>45</v>
      </c>
      <c r="Y9" s="4" t="s">
        <v>46</v>
      </c>
      <c r="Z9" s="4" t="s">
        <v>47</v>
      </c>
      <c r="AA9" s="4" t="s">
        <v>48</v>
      </c>
      <c r="AB9" s="4" t="s">
        <v>49</v>
      </c>
      <c r="AC9" s="4" t="s">
        <v>50</v>
      </c>
      <c r="AD9" s="4" t="s">
        <v>51</v>
      </c>
      <c r="AE9" s="2"/>
    </row>
    <row r="10" spans="2:31" s="3" customFormat="1" ht="13.5" x14ac:dyDescent="0.25">
      <c r="B10" s="8" t="s">
        <v>52</v>
      </c>
      <c r="C10" s="24" t="s">
        <v>53</v>
      </c>
      <c r="D10" s="13"/>
      <c r="E10" s="14"/>
      <c r="F10" s="14"/>
      <c r="G10" s="14"/>
      <c r="H10" s="14"/>
      <c r="I10" s="14"/>
      <c r="J10" s="14"/>
      <c r="K10" s="14"/>
      <c r="L10" s="14"/>
      <c r="M10" s="14"/>
      <c r="N10" s="14"/>
      <c r="O10" s="14" t="s">
        <v>1562</v>
      </c>
      <c r="P10" s="14"/>
      <c r="Q10" s="14"/>
      <c r="R10" s="14"/>
      <c r="S10" s="14"/>
      <c r="T10" s="14"/>
      <c r="U10" s="14"/>
      <c r="V10" s="14"/>
      <c r="W10" s="14"/>
      <c r="X10" s="14"/>
      <c r="Y10" s="14"/>
      <c r="Z10" s="14"/>
      <c r="AA10" s="14"/>
      <c r="AB10" s="14"/>
      <c r="AC10" s="14"/>
      <c r="AD10" s="15"/>
    </row>
    <row r="11" spans="2:31" s="3" customFormat="1" ht="54" x14ac:dyDescent="0.25">
      <c r="B11" s="9" t="s">
        <v>54</v>
      </c>
      <c r="C11" s="25" t="s">
        <v>55</v>
      </c>
      <c r="D11" s="16"/>
      <c r="E11" s="12"/>
      <c r="F11" s="12"/>
      <c r="G11" s="12"/>
      <c r="H11" s="12"/>
      <c r="I11" s="12"/>
      <c r="J11" s="12"/>
      <c r="K11" s="12"/>
      <c r="L11" s="12"/>
      <c r="M11" s="12"/>
      <c r="N11" s="12"/>
      <c r="O11" s="12" t="s">
        <v>1563</v>
      </c>
      <c r="P11" s="12"/>
      <c r="Q11" s="12"/>
      <c r="R11" s="12"/>
      <c r="S11" s="12"/>
      <c r="T11" s="12"/>
      <c r="U11" s="12"/>
      <c r="V11" s="12"/>
      <c r="W11" s="12"/>
      <c r="X11" s="12"/>
      <c r="Y11" s="12"/>
      <c r="Z11" s="12"/>
      <c r="AA11" s="12"/>
      <c r="AB11" s="12"/>
      <c r="AC11" s="12"/>
      <c r="AD11" s="17"/>
    </row>
    <row r="12" spans="2:31" s="3" customFormat="1" ht="81" x14ac:dyDescent="0.25">
      <c r="B12" s="9" t="s">
        <v>56</v>
      </c>
      <c r="C12" s="25" t="s">
        <v>57</v>
      </c>
      <c r="D12" s="16"/>
      <c r="E12" s="12"/>
      <c r="F12" s="12"/>
      <c r="G12" s="12"/>
      <c r="H12" s="12"/>
      <c r="I12" s="12"/>
      <c r="J12" s="12"/>
      <c r="K12" s="12"/>
      <c r="L12" s="12"/>
      <c r="M12" s="12"/>
      <c r="N12" s="12"/>
      <c r="O12" s="12" t="s">
        <v>1562</v>
      </c>
      <c r="P12" s="12"/>
      <c r="Q12" s="12"/>
      <c r="R12" s="12"/>
      <c r="S12" s="12"/>
      <c r="T12" s="12"/>
      <c r="U12" s="12"/>
      <c r="V12" s="12"/>
      <c r="W12" s="12"/>
      <c r="X12" s="12"/>
      <c r="Y12" s="12"/>
      <c r="Z12" s="12"/>
      <c r="AA12" s="12"/>
      <c r="AB12" s="12"/>
      <c r="AC12" s="12"/>
      <c r="AD12" s="17"/>
    </row>
    <row r="13" spans="2:31" s="3" customFormat="1" ht="40.5" x14ac:dyDescent="0.25">
      <c r="B13" s="9" t="s">
        <v>58</v>
      </c>
      <c r="C13" s="25" t="s">
        <v>59</v>
      </c>
      <c r="D13" s="16"/>
      <c r="E13" s="12"/>
      <c r="F13" s="12"/>
      <c r="G13" s="12"/>
      <c r="H13" s="12"/>
      <c r="I13" s="12"/>
      <c r="J13" s="12"/>
      <c r="K13" s="12"/>
      <c r="L13" s="12"/>
      <c r="M13" s="12"/>
      <c r="N13" s="12"/>
      <c r="O13" s="12" t="s">
        <v>1564</v>
      </c>
      <c r="P13" s="12"/>
      <c r="Q13" s="12"/>
      <c r="R13" s="12"/>
      <c r="S13" s="12"/>
      <c r="T13" s="12"/>
      <c r="U13" s="12"/>
      <c r="V13" s="12"/>
      <c r="W13" s="12"/>
      <c r="X13" s="12"/>
      <c r="Y13" s="12"/>
      <c r="Z13" s="12"/>
      <c r="AA13" s="12"/>
      <c r="AB13" s="12"/>
      <c r="AC13" s="12"/>
      <c r="AD13" s="17"/>
    </row>
    <row r="14" spans="2:31" s="3" customFormat="1" ht="40.5" x14ac:dyDescent="0.25">
      <c r="B14" s="9" t="s">
        <v>60</v>
      </c>
      <c r="C14" s="25" t="s">
        <v>59</v>
      </c>
      <c r="D14" s="16"/>
      <c r="E14" s="12"/>
      <c r="F14" s="12"/>
      <c r="G14" s="12"/>
      <c r="H14" s="12"/>
      <c r="I14" s="12"/>
      <c r="J14" s="12"/>
      <c r="K14" s="12"/>
      <c r="L14" s="12"/>
      <c r="M14" s="12"/>
      <c r="N14" s="12"/>
      <c r="O14" s="12" t="s">
        <v>1564</v>
      </c>
      <c r="P14" s="12"/>
      <c r="Q14" s="12"/>
      <c r="R14" s="12"/>
      <c r="S14" s="12"/>
      <c r="T14" s="12"/>
      <c r="U14" s="12"/>
      <c r="V14" s="12"/>
      <c r="W14" s="12"/>
      <c r="X14" s="12"/>
      <c r="Y14" s="12"/>
      <c r="Z14" s="12"/>
      <c r="AA14" s="12"/>
      <c r="AB14" s="12"/>
      <c r="AC14" s="12"/>
      <c r="AD14" s="17"/>
    </row>
    <row r="15" spans="2:31" s="3" customFormat="1" ht="40.5" x14ac:dyDescent="0.25">
      <c r="B15" s="21" t="s">
        <v>61</v>
      </c>
      <c r="C15" s="25" t="s">
        <v>53</v>
      </c>
      <c r="D15" s="16"/>
      <c r="E15" s="12"/>
      <c r="F15" s="12"/>
      <c r="G15" s="12"/>
      <c r="H15" s="12"/>
      <c r="I15" s="12"/>
      <c r="J15" s="12"/>
      <c r="K15" s="12"/>
      <c r="L15" s="12"/>
      <c r="M15" s="12"/>
      <c r="N15" s="12"/>
      <c r="O15" s="12" t="s">
        <v>1565</v>
      </c>
      <c r="P15" s="12"/>
      <c r="Q15" s="12"/>
      <c r="R15" s="12"/>
      <c r="S15" s="12"/>
      <c r="T15" s="12"/>
      <c r="U15" s="12"/>
      <c r="V15" s="12"/>
      <c r="W15" s="12"/>
      <c r="X15" s="12"/>
      <c r="Y15" s="12"/>
      <c r="Z15" s="12"/>
      <c r="AA15" s="12"/>
      <c r="AB15" s="12"/>
      <c r="AC15" s="12"/>
      <c r="AD15" s="17"/>
    </row>
    <row r="16" spans="2:31" s="3" customFormat="1" ht="13.5" x14ac:dyDescent="0.25">
      <c r="B16" s="9" t="s">
        <v>62</v>
      </c>
      <c r="C16" s="25" t="s">
        <v>63</v>
      </c>
      <c r="D16" s="16"/>
      <c r="E16" s="12"/>
      <c r="F16" s="12"/>
      <c r="G16" s="12"/>
      <c r="H16" s="12"/>
      <c r="I16" s="12"/>
      <c r="J16" s="12"/>
      <c r="K16" s="12"/>
      <c r="L16" s="12"/>
      <c r="M16" s="12"/>
      <c r="N16" s="12"/>
      <c r="O16" s="12" t="s">
        <v>1562</v>
      </c>
      <c r="P16" s="12"/>
      <c r="Q16" s="12"/>
      <c r="R16" s="12"/>
      <c r="S16" s="12"/>
      <c r="T16" s="12"/>
      <c r="U16" s="12"/>
      <c r="V16" s="12"/>
      <c r="W16" s="12"/>
      <c r="X16" s="12"/>
      <c r="Y16" s="12"/>
      <c r="Z16" s="12"/>
      <c r="AA16" s="12"/>
      <c r="AB16" s="12"/>
      <c r="AC16" s="12"/>
      <c r="AD16" s="17"/>
    </row>
    <row r="17" spans="2:30" s="3" customFormat="1" ht="108" x14ac:dyDescent="0.25">
      <c r="B17" s="21" t="s">
        <v>64</v>
      </c>
      <c r="C17" s="25" t="s">
        <v>53</v>
      </c>
      <c r="D17" s="16"/>
      <c r="E17" s="12"/>
      <c r="F17" s="12"/>
      <c r="G17" s="12"/>
      <c r="H17" s="12"/>
      <c r="I17" s="12"/>
      <c r="J17" s="12"/>
      <c r="K17" s="12"/>
      <c r="L17" s="12"/>
      <c r="M17" s="12"/>
      <c r="N17" s="12"/>
      <c r="O17" s="12" t="s">
        <v>1566</v>
      </c>
      <c r="P17" s="12"/>
      <c r="Q17" s="12"/>
      <c r="R17" s="12"/>
      <c r="S17" s="12"/>
      <c r="T17" s="12"/>
      <c r="U17" s="12"/>
      <c r="V17" s="12"/>
      <c r="W17" s="12"/>
      <c r="X17" s="12"/>
      <c r="Y17" s="12"/>
      <c r="Z17" s="12"/>
      <c r="AA17" s="12"/>
      <c r="AB17" s="12"/>
      <c r="AC17" s="12"/>
      <c r="AD17" s="17"/>
    </row>
    <row r="18" spans="2:30" s="3" customFormat="1" ht="216" x14ac:dyDescent="0.25">
      <c r="B18" s="9" t="s">
        <v>65</v>
      </c>
      <c r="C18" s="25" t="s">
        <v>66</v>
      </c>
      <c r="D18" s="16"/>
      <c r="E18" s="12"/>
      <c r="F18" s="12"/>
      <c r="G18" s="12"/>
      <c r="H18" s="12"/>
      <c r="I18" s="12"/>
      <c r="J18" s="12"/>
      <c r="K18" s="12"/>
      <c r="L18" s="12"/>
      <c r="M18" s="12"/>
      <c r="N18" s="12" t="s">
        <v>1567</v>
      </c>
      <c r="O18" s="12" t="s">
        <v>1568</v>
      </c>
      <c r="P18" s="12"/>
      <c r="Q18" s="12"/>
      <c r="R18" s="12"/>
      <c r="S18" s="12"/>
      <c r="T18" s="12"/>
      <c r="U18" s="12"/>
      <c r="V18" s="12"/>
      <c r="W18" s="12"/>
      <c r="X18" s="12"/>
      <c r="Y18" s="12"/>
      <c r="Z18" s="12"/>
      <c r="AA18" s="12"/>
      <c r="AB18" s="12"/>
      <c r="AC18" s="12"/>
      <c r="AD18" s="17"/>
    </row>
    <row r="19" spans="2:30" s="3" customFormat="1" ht="81" x14ac:dyDescent="0.25">
      <c r="B19" s="9" t="s">
        <v>67</v>
      </c>
      <c r="C19" s="25" t="s">
        <v>68</v>
      </c>
      <c r="D19" s="16"/>
      <c r="E19" s="12"/>
      <c r="F19" s="12"/>
      <c r="G19" s="12"/>
      <c r="H19" s="12"/>
      <c r="I19" s="12"/>
      <c r="J19" s="12"/>
      <c r="K19" s="12"/>
      <c r="L19" s="12"/>
      <c r="M19" s="12"/>
      <c r="N19" s="12"/>
      <c r="O19" s="12" t="s">
        <v>1569</v>
      </c>
      <c r="P19" s="12"/>
      <c r="Q19" s="12"/>
      <c r="R19" s="12"/>
      <c r="S19" s="12"/>
      <c r="T19" s="12"/>
      <c r="U19" s="12"/>
      <c r="V19" s="12"/>
      <c r="W19" s="12"/>
      <c r="X19" s="12"/>
      <c r="Y19" s="12"/>
      <c r="Z19" s="12"/>
      <c r="AA19" s="12"/>
      <c r="AB19" s="12"/>
      <c r="AC19" s="12"/>
      <c r="AD19" s="17"/>
    </row>
    <row r="20" spans="2:30" s="3" customFormat="1" ht="13.5" x14ac:dyDescent="0.25">
      <c r="B20" s="10" t="s">
        <v>69</v>
      </c>
      <c r="C20" s="25" t="s">
        <v>53</v>
      </c>
      <c r="D20" s="16"/>
      <c r="E20" s="12"/>
      <c r="F20" s="12"/>
      <c r="G20" s="12" t="str">
        <f>VLOOKUP(B20,'[1]ART 3'!A:E,5,FALSE)</f>
        <v xml:space="preserve">Ex. </v>
      </c>
      <c r="H20" s="12"/>
      <c r="I20" s="12"/>
      <c r="J20" s="12"/>
      <c r="K20" s="12"/>
      <c r="L20" s="12"/>
      <c r="M20" s="12"/>
      <c r="N20" s="12"/>
      <c r="O20" s="12"/>
      <c r="P20" s="12"/>
      <c r="Q20" s="12"/>
      <c r="R20" s="12"/>
      <c r="S20" s="12"/>
      <c r="T20" s="12"/>
      <c r="U20" s="12"/>
      <c r="V20" s="12"/>
      <c r="W20" s="12"/>
      <c r="X20" s="12"/>
      <c r="Y20" s="12"/>
      <c r="Z20" s="12"/>
      <c r="AA20" s="12"/>
      <c r="AB20" s="12"/>
      <c r="AC20" s="12"/>
      <c r="AD20" s="17"/>
    </row>
    <row r="21" spans="2:30" s="3" customFormat="1" ht="54" x14ac:dyDescent="0.25">
      <c r="B21" s="10" t="s">
        <v>70</v>
      </c>
      <c r="C21" s="25" t="s">
        <v>71</v>
      </c>
      <c r="D21" s="16" t="str">
        <f>VLOOKUP(B21,'[1]ART 1'!A:E,5,FALSE)</f>
        <v>5</v>
      </c>
      <c r="E21" s="12"/>
      <c r="F21" s="12"/>
      <c r="G21" s="12"/>
      <c r="H21" s="12"/>
      <c r="I21" s="12" t="str">
        <f>VLOOKUP(B21,'[1]ART 5'!A:E,5,FALSE)</f>
        <v xml:space="preserve">5 </v>
      </c>
      <c r="J21" s="12"/>
      <c r="K21" s="12"/>
      <c r="L21" s="12"/>
      <c r="M21" s="12"/>
      <c r="N21" s="12"/>
      <c r="O21" s="12" t="s">
        <v>1570</v>
      </c>
      <c r="P21" s="12"/>
      <c r="Q21" s="12"/>
      <c r="R21" s="12" t="s">
        <v>1570</v>
      </c>
      <c r="S21" s="12"/>
      <c r="T21" s="12"/>
      <c r="U21" s="12"/>
      <c r="V21" s="12"/>
      <c r="W21" s="12"/>
      <c r="X21" s="12"/>
      <c r="Y21" s="12"/>
      <c r="Z21" s="12"/>
      <c r="AA21" s="12"/>
      <c r="AB21" s="12"/>
      <c r="AC21" s="12"/>
      <c r="AD21" s="17"/>
    </row>
    <row r="22" spans="2:30" s="3" customFormat="1" ht="13.5" x14ac:dyDescent="0.25">
      <c r="B22" s="10" t="s">
        <v>72</v>
      </c>
      <c r="C22" s="25" t="s">
        <v>53</v>
      </c>
      <c r="D22" s="16" t="str">
        <f>VLOOKUP(B22,'[1]ART 1'!A:E,5,FALSE)</f>
        <v>5</v>
      </c>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7"/>
    </row>
    <row r="23" spans="2:30" s="3" customFormat="1" ht="67.5" x14ac:dyDescent="0.25">
      <c r="B23" s="10" t="s">
        <v>73</v>
      </c>
      <c r="C23" s="25" t="s">
        <v>74</v>
      </c>
      <c r="D23" s="16" t="str">
        <f>VLOOKUP(B23,'[1]ART 1'!A:E,5,FALSE)</f>
        <v>Ex.</v>
      </c>
      <c r="E23" s="12" t="str">
        <f>VLOOKUP(B23,'[1]ART 2 A)'!A:E,5,FALSE)</f>
        <v>Ex.</v>
      </c>
      <c r="F23" s="12"/>
      <c r="G23" s="12"/>
      <c r="H23" s="12"/>
      <c r="I23" s="12"/>
      <c r="J23" s="12"/>
      <c r="K23" s="12"/>
      <c r="L23" s="12"/>
      <c r="M23" s="12"/>
      <c r="N23" s="12"/>
      <c r="O23" s="12"/>
      <c r="P23" s="12"/>
      <c r="Q23" s="12"/>
      <c r="R23" s="12"/>
      <c r="S23" s="12"/>
      <c r="T23" s="12"/>
      <c r="U23" s="12"/>
      <c r="V23" s="12"/>
      <c r="W23" s="12"/>
      <c r="X23" s="12" t="s">
        <v>1562</v>
      </c>
      <c r="Y23" s="12"/>
      <c r="Z23" s="12"/>
      <c r="AA23" s="12"/>
      <c r="AB23" s="12"/>
      <c r="AC23" s="12"/>
      <c r="AD23" s="17"/>
    </row>
    <row r="24" spans="2:30" s="3" customFormat="1" ht="13.5" x14ac:dyDescent="0.25">
      <c r="B24" s="10" t="s">
        <v>75</v>
      </c>
      <c r="C24" s="25" t="s">
        <v>76</v>
      </c>
      <c r="D24" s="16"/>
      <c r="E24" s="12" t="str">
        <f>VLOOKUP(B24,'[1]ART 2 A)'!A:E,5,FALSE)</f>
        <v>Ex.</v>
      </c>
      <c r="F24" s="12"/>
      <c r="G24" s="12"/>
      <c r="H24" s="12"/>
      <c r="I24" s="12"/>
      <c r="J24" s="12"/>
      <c r="K24" s="12"/>
      <c r="L24" s="12"/>
      <c r="M24" s="12"/>
      <c r="N24" s="12"/>
      <c r="O24" s="12"/>
      <c r="P24" s="12"/>
      <c r="Q24" s="12"/>
      <c r="R24" s="12"/>
      <c r="S24" s="12"/>
      <c r="T24" s="12"/>
      <c r="U24" s="12"/>
      <c r="V24" s="12"/>
      <c r="W24" s="12"/>
      <c r="X24" s="12" t="s">
        <v>1562</v>
      </c>
      <c r="Y24" s="12"/>
      <c r="Z24" s="12"/>
      <c r="AA24" s="12"/>
      <c r="AB24" s="12"/>
      <c r="AC24" s="12"/>
      <c r="AD24" s="17"/>
    </row>
    <row r="25" spans="2:30" s="3" customFormat="1" ht="13.5" x14ac:dyDescent="0.25">
      <c r="B25" s="10" t="s">
        <v>77</v>
      </c>
      <c r="C25" s="25" t="s">
        <v>78</v>
      </c>
      <c r="D25" s="16"/>
      <c r="E25" s="12" t="str">
        <f>VLOOKUP(B25,'[1]ART 2 A)'!A:E,5,FALSE)</f>
        <v>Ex.</v>
      </c>
      <c r="F25" s="12"/>
      <c r="G25" s="12"/>
      <c r="H25" s="12"/>
      <c r="I25" s="12"/>
      <c r="J25" s="12"/>
      <c r="K25" s="12"/>
      <c r="L25" s="12"/>
      <c r="M25" s="12"/>
      <c r="N25" s="12"/>
      <c r="O25" s="12" t="s">
        <v>1562</v>
      </c>
      <c r="P25" s="12"/>
      <c r="Q25" s="12"/>
      <c r="R25" s="12"/>
      <c r="S25" s="12"/>
      <c r="T25" s="12"/>
      <c r="U25" s="12"/>
      <c r="V25" s="12"/>
      <c r="W25" s="12"/>
      <c r="X25" s="12" t="s">
        <v>1562</v>
      </c>
      <c r="Y25" s="12"/>
      <c r="Z25" s="12"/>
      <c r="AA25" s="12"/>
      <c r="AB25" s="12"/>
      <c r="AC25" s="12"/>
      <c r="AD25" s="17"/>
    </row>
    <row r="26" spans="2:30" s="3" customFormat="1" ht="13.5" x14ac:dyDescent="0.25">
      <c r="B26" s="10" t="s">
        <v>79</v>
      </c>
      <c r="C26" s="25" t="s">
        <v>80</v>
      </c>
      <c r="D26" s="16"/>
      <c r="E26" s="12"/>
      <c r="F26" s="12"/>
      <c r="G26" s="12"/>
      <c r="H26" s="12"/>
      <c r="I26" s="12"/>
      <c r="J26" s="12"/>
      <c r="K26" s="12"/>
      <c r="L26" s="12"/>
      <c r="M26" s="12"/>
      <c r="N26" s="12"/>
      <c r="O26" s="12" t="s">
        <v>1562</v>
      </c>
      <c r="P26" s="12" t="s">
        <v>1562</v>
      </c>
      <c r="Q26" s="12"/>
      <c r="R26" s="12"/>
      <c r="S26" s="12"/>
      <c r="T26" s="12"/>
      <c r="U26" s="12"/>
      <c r="V26" s="12"/>
      <c r="W26" s="12"/>
      <c r="X26" s="12"/>
      <c r="Y26" s="12"/>
      <c r="Z26" s="12"/>
      <c r="AA26" s="12"/>
      <c r="AB26" s="12"/>
      <c r="AC26" s="12"/>
      <c r="AD26" s="17"/>
    </row>
    <row r="27" spans="2:30" s="3" customFormat="1" ht="13.5" x14ac:dyDescent="0.25">
      <c r="B27" s="10" t="s">
        <v>81</v>
      </c>
      <c r="C27" s="25" t="s">
        <v>82</v>
      </c>
      <c r="D27" s="16"/>
      <c r="E27" s="12" t="str">
        <f>VLOOKUP(B27,'[1]ART 2 A)'!A:E,5,FALSE)</f>
        <v>Ex.</v>
      </c>
      <c r="F27" s="12"/>
      <c r="G27" s="12"/>
      <c r="H27" s="12"/>
      <c r="I27" s="12"/>
      <c r="J27" s="12"/>
      <c r="K27" s="12"/>
      <c r="L27" s="12"/>
      <c r="M27" s="12"/>
      <c r="N27" s="12"/>
      <c r="O27" s="12"/>
      <c r="P27" s="12"/>
      <c r="Q27" s="12"/>
      <c r="R27" s="12"/>
      <c r="S27" s="12"/>
      <c r="T27" s="12"/>
      <c r="U27" s="12"/>
      <c r="V27" s="12"/>
      <c r="W27" s="12"/>
      <c r="X27" s="12"/>
      <c r="Y27" s="12"/>
      <c r="Z27" s="12"/>
      <c r="AA27" s="12"/>
      <c r="AB27" s="12"/>
      <c r="AC27" s="12"/>
      <c r="AD27" s="17"/>
    </row>
    <row r="28" spans="2:30" s="3" customFormat="1" ht="13.5" x14ac:dyDescent="0.25">
      <c r="B28" s="10" t="s">
        <v>83</v>
      </c>
      <c r="C28" s="25" t="s">
        <v>53</v>
      </c>
      <c r="D28" s="16" t="str">
        <f>VLOOKUP(B28,'[1]ART 1'!A:E,5,FALSE)</f>
        <v>Ex.</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7"/>
    </row>
    <row r="29" spans="2:30" s="3" customFormat="1" ht="40.5" x14ac:dyDescent="0.25">
      <c r="B29" s="10" t="s">
        <v>84</v>
      </c>
      <c r="C29" s="25" t="s">
        <v>85</v>
      </c>
      <c r="D29" s="16"/>
      <c r="E29" s="12"/>
      <c r="F29" s="12"/>
      <c r="G29" s="12"/>
      <c r="H29" s="12"/>
      <c r="I29" s="12"/>
      <c r="J29" s="12"/>
      <c r="K29" s="12"/>
      <c r="L29" s="12"/>
      <c r="M29" s="12"/>
      <c r="N29" s="12" t="s">
        <v>1562</v>
      </c>
      <c r="O29" s="12"/>
      <c r="P29" s="12"/>
      <c r="Q29" s="12"/>
      <c r="R29" s="12"/>
      <c r="S29" s="12"/>
      <c r="T29" s="12"/>
      <c r="U29" s="12"/>
      <c r="V29" s="12"/>
      <c r="W29" s="12"/>
      <c r="X29" s="12"/>
      <c r="Y29" s="12"/>
      <c r="Z29" s="12"/>
      <c r="AA29" s="12"/>
      <c r="AB29" s="12"/>
      <c r="AC29" s="12"/>
      <c r="AD29" s="17"/>
    </row>
    <row r="30" spans="2:30" s="3" customFormat="1" ht="13.5" x14ac:dyDescent="0.25">
      <c r="B30" s="10" t="s">
        <v>86</v>
      </c>
      <c r="C30" s="25" t="s">
        <v>53</v>
      </c>
      <c r="D30" s="16" t="str">
        <f>VLOOKUP(B30,'[1]ART 1'!A:E,5,FALSE)</f>
        <v>Ex.</v>
      </c>
      <c r="E30" s="12" t="str">
        <f>VLOOKUP(B30,'[1]ART 2 A)'!A:E,5,FALSE)</f>
        <v>Ex.</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7"/>
    </row>
    <row r="31" spans="2:30" s="3" customFormat="1" ht="27" x14ac:dyDescent="0.25">
      <c r="B31" s="10" t="s">
        <v>87</v>
      </c>
      <c r="C31" s="25" t="s">
        <v>88</v>
      </c>
      <c r="D31" s="16"/>
      <c r="E31" s="12" t="str">
        <f>VLOOKUP(B31,'[1]ART 2 A)'!A:E,5,FALSE)</f>
        <v>Ex.</v>
      </c>
      <c r="F31" s="12"/>
      <c r="G31" s="12"/>
      <c r="H31" s="12"/>
      <c r="I31" s="12"/>
      <c r="J31" s="12"/>
      <c r="K31" s="12"/>
      <c r="L31" s="12"/>
      <c r="M31" s="12"/>
      <c r="N31" s="12"/>
      <c r="O31" s="12"/>
      <c r="P31" s="12"/>
      <c r="Q31" s="12"/>
      <c r="R31" s="12"/>
      <c r="S31" s="12"/>
      <c r="T31" s="12"/>
      <c r="U31" s="12"/>
      <c r="V31" s="12"/>
      <c r="W31" s="12"/>
      <c r="X31" s="12"/>
      <c r="Y31" s="12"/>
      <c r="Z31" s="12"/>
      <c r="AA31" s="12"/>
      <c r="AB31" s="12"/>
      <c r="AC31" s="12"/>
      <c r="AD31" s="17"/>
    </row>
    <row r="32" spans="2:30" s="3" customFormat="1" ht="13.5" x14ac:dyDescent="0.25">
      <c r="B32" s="10" t="s">
        <v>89</v>
      </c>
      <c r="C32" s="25" t="s">
        <v>90</v>
      </c>
      <c r="D32" s="16"/>
      <c r="E32" s="12"/>
      <c r="F32" s="12"/>
      <c r="G32" s="12"/>
      <c r="H32" s="12"/>
      <c r="I32" s="12"/>
      <c r="J32" s="12"/>
      <c r="K32" s="12"/>
      <c r="L32" s="12"/>
      <c r="M32" s="12"/>
      <c r="N32" s="12"/>
      <c r="O32" s="12"/>
      <c r="P32" s="12"/>
      <c r="Q32" s="12"/>
      <c r="R32" s="12"/>
      <c r="S32" s="12"/>
      <c r="T32" s="12"/>
      <c r="U32" s="12"/>
      <c r="V32" s="12"/>
      <c r="W32" s="12"/>
      <c r="X32" s="12" t="s">
        <v>1571</v>
      </c>
      <c r="Y32" s="12"/>
      <c r="Z32" s="12"/>
      <c r="AA32" s="12"/>
      <c r="AB32" s="12"/>
      <c r="AC32" s="12"/>
      <c r="AD32" s="17"/>
    </row>
    <row r="33" spans="2:30" s="3" customFormat="1" ht="13.5" x14ac:dyDescent="0.25">
      <c r="B33" s="10" t="s">
        <v>91</v>
      </c>
      <c r="C33" s="25" t="s">
        <v>53</v>
      </c>
      <c r="D33" s="16"/>
      <c r="E33" s="12" t="str">
        <f>VLOOKUP(B33,'[1]ART 2 A)'!A:E,5,FALSE)</f>
        <v>Ex.</v>
      </c>
      <c r="F33" s="12"/>
      <c r="G33" s="12"/>
      <c r="H33" s="12"/>
      <c r="I33" s="12"/>
      <c r="J33" s="12"/>
      <c r="K33" s="12"/>
      <c r="L33" s="12"/>
      <c r="M33" s="12"/>
      <c r="N33" s="12"/>
      <c r="O33" s="12"/>
      <c r="P33" s="12"/>
      <c r="Q33" s="12"/>
      <c r="R33" s="12"/>
      <c r="S33" s="12"/>
      <c r="T33" s="12"/>
      <c r="U33" s="12"/>
      <c r="V33" s="12"/>
      <c r="W33" s="12"/>
      <c r="X33" s="12"/>
      <c r="Y33" s="12"/>
      <c r="Z33" s="12"/>
      <c r="AA33" s="12"/>
      <c r="AB33" s="12"/>
      <c r="AC33" s="12"/>
      <c r="AD33" s="17"/>
    </row>
    <row r="34" spans="2:30" s="3" customFormat="1" ht="13.5" x14ac:dyDescent="0.25">
      <c r="B34" s="10" t="s">
        <v>92</v>
      </c>
      <c r="C34" s="25" t="s">
        <v>53</v>
      </c>
      <c r="D34" s="16"/>
      <c r="E34" s="12" t="str">
        <f>VLOOKUP(B34,'[1]ART 2 A)'!A:E,5,FALSE)</f>
        <v>Ex.</v>
      </c>
      <c r="F34" s="12"/>
      <c r="G34" s="12"/>
      <c r="H34" s="12"/>
      <c r="I34" s="12"/>
      <c r="J34" s="12"/>
      <c r="K34" s="12"/>
      <c r="L34" s="12"/>
      <c r="M34" s="12"/>
      <c r="N34" s="12"/>
      <c r="O34" s="12"/>
      <c r="P34" s="12"/>
      <c r="Q34" s="12"/>
      <c r="R34" s="12"/>
      <c r="S34" s="12"/>
      <c r="T34" s="12"/>
      <c r="U34" s="12"/>
      <c r="V34" s="12"/>
      <c r="W34" s="12"/>
      <c r="X34" s="12"/>
      <c r="Y34" s="12"/>
      <c r="Z34" s="12"/>
      <c r="AA34" s="12"/>
      <c r="AB34" s="12"/>
      <c r="AC34" s="12"/>
      <c r="AD34" s="17"/>
    </row>
    <row r="35" spans="2:30" s="3" customFormat="1" ht="13.5" x14ac:dyDescent="0.25">
      <c r="B35" s="10" t="s">
        <v>93</v>
      </c>
      <c r="C35" s="25" t="s">
        <v>94</v>
      </c>
      <c r="D35" s="16"/>
      <c r="E35" s="12" t="str">
        <f>VLOOKUP(B35,'[1]ART 2 A)'!A:E,5,FALSE)</f>
        <v>Ex.</v>
      </c>
      <c r="F35" s="12"/>
      <c r="G35" s="12"/>
      <c r="H35" s="12"/>
      <c r="I35" s="12"/>
      <c r="J35" s="12"/>
      <c r="K35" s="12"/>
      <c r="L35" s="12"/>
      <c r="M35" s="12"/>
      <c r="N35" s="12"/>
      <c r="O35" s="12"/>
      <c r="P35" s="12"/>
      <c r="Q35" s="12"/>
      <c r="R35" s="12"/>
      <c r="S35" s="12"/>
      <c r="T35" s="12"/>
      <c r="U35" s="12"/>
      <c r="V35" s="12"/>
      <c r="W35" s="12"/>
      <c r="X35" s="12" t="s">
        <v>1562</v>
      </c>
      <c r="Y35" s="12"/>
      <c r="Z35" s="12"/>
      <c r="AA35" s="12"/>
      <c r="AB35" s="12"/>
      <c r="AC35" s="12"/>
      <c r="AD35" s="17"/>
    </row>
    <row r="36" spans="2:30" s="3" customFormat="1" ht="13.5" x14ac:dyDescent="0.25">
      <c r="B36" s="10" t="s">
        <v>95</v>
      </c>
      <c r="C36" s="25" t="s">
        <v>96</v>
      </c>
      <c r="D36" s="16"/>
      <c r="E36" s="12" t="str">
        <f>VLOOKUP(B36,'[1]ART 2 A)'!A:E,5,FALSE)</f>
        <v>Ex.</v>
      </c>
      <c r="F36" s="12"/>
      <c r="G36" s="12"/>
      <c r="H36" s="12"/>
      <c r="I36" s="12"/>
      <c r="J36" s="12"/>
      <c r="K36" s="12"/>
      <c r="L36" s="12"/>
      <c r="M36" s="12"/>
      <c r="N36" s="12"/>
      <c r="O36" s="12"/>
      <c r="P36" s="12"/>
      <c r="Q36" s="12"/>
      <c r="R36" s="12"/>
      <c r="S36" s="12"/>
      <c r="T36" s="12"/>
      <c r="U36" s="12"/>
      <c r="V36" s="12"/>
      <c r="W36" s="12"/>
      <c r="X36" s="12"/>
      <c r="Y36" s="12"/>
      <c r="Z36" s="12"/>
      <c r="AA36" s="12"/>
      <c r="AB36" s="12"/>
      <c r="AC36" s="12"/>
      <c r="AD36" s="17"/>
    </row>
    <row r="37" spans="2:30" s="3" customFormat="1" ht="13.5" x14ac:dyDescent="0.25">
      <c r="B37" s="10" t="s">
        <v>97</v>
      </c>
      <c r="C37" s="25" t="s">
        <v>53</v>
      </c>
      <c r="D37" s="16"/>
      <c r="E37" s="12" t="str">
        <f>VLOOKUP(B37,'[1]ART 2 A)'!A:E,5,FALSE)</f>
        <v>Ex.</v>
      </c>
      <c r="F37" s="12"/>
      <c r="G37" s="12"/>
      <c r="H37" s="12"/>
      <c r="I37" s="12"/>
      <c r="J37" s="12"/>
      <c r="K37" s="12"/>
      <c r="L37" s="12"/>
      <c r="M37" s="12"/>
      <c r="N37" s="12"/>
      <c r="O37" s="12" t="s">
        <v>1570</v>
      </c>
      <c r="P37" s="12"/>
      <c r="Q37" s="12"/>
      <c r="R37" s="12"/>
      <c r="S37" s="12"/>
      <c r="T37" s="12"/>
      <c r="U37" s="12"/>
      <c r="V37" s="12"/>
      <c r="W37" s="12"/>
      <c r="X37" s="12"/>
      <c r="Y37" s="12"/>
      <c r="Z37" s="12"/>
      <c r="AA37" s="12"/>
      <c r="AB37" s="12"/>
      <c r="AC37" s="12"/>
      <c r="AD37" s="17"/>
    </row>
    <row r="38" spans="2:30" s="3" customFormat="1" ht="13.5" x14ac:dyDescent="0.25">
      <c r="B38" s="10" t="s">
        <v>98</v>
      </c>
      <c r="C38" s="25" t="s">
        <v>53</v>
      </c>
      <c r="D38" s="16"/>
      <c r="E38" s="12"/>
      <c r="F38" s="12"/>
      <c r="G38" s="12"/>
      <c r="H38" s="12"/>
      <c r="I38" s="12"/>
      <c r="J38" s="12"/>
      <c r="K38" s="12"/>
      <c r="L38" s="12"/>
      <c r="M38" s="12"/>
      <c r="N38" s="12"/>
      <c r="O38" s="12"/>
      <c r="P38" s="12"/>
      <c r="Q38" s="12"/>
      <c r="R38" s="12"/>
      <c r="S38" s="12"/>
      <c r="T38" s="12"/>
      <c r="U38" s="12"/>
      <c r="V38" s="12"/>
      <c r="W38" s="12"/>
      <c r="X38" s="12" t="s">
        <v>1571</v>
      </c>
      <c r="Y38" s="12"/>
      <c r="Z38" s="12"/>
      <c r="AA38" s="12"/>
      <c r="AB38" s="12"/>
      <c r="AC38" s="12"/>
      <c r="AD38" s="17"/>
    </row>
    <row r="39" spans="2:30" s="3" customFormat="1" ht="27" x14ac:dyDescent="0.25">
      <c r="B39" s="10" t="s">
        <v>99</v>
      </c>
      <c r="C39" s="25" t="s">
        <v>100</v>
      </c>
      <c r="D39" s="16"/>
      <c r="E39" s="12"/>
      <c r="F39" s="12"/>
      <c r="G39" s="12"/>
      <c r="H39" s="12"/>
      <c r="I39" s="12"/>
      <c r="J39" s="12"/>
      <c r="K39" s="12"/>
      <c r="L39" s="12"/>
      <c r="M39" s="12"/>
      <c r="N39" s="12"/>
      <c r="O39" s="12" t="s">
        <v>1562</v>
      </c>
      <c r="P39" s="12"/>
      <c r="Q39" s="12"/>
      <c r="R39" s="12"/>
      <c r="S39" s="12"/>
      <c r="T39" s="12"/>
      <c r="U39" s="12"/>
      <c r="V39" s="12"/>
      <c r="W39" s="12"/>
      <c r="X39" s="12"/>
      <c r="Y39" s="12"/>
      <c r="Z39" s="12"/>
      <c r="AA39" s="12"/>
      <c r="AB39" s="12"/>
      <c r="AC39" s="12"/>
      <c r="AD39" s="17"/>
    </row>
    <row r="40" spans="2:30" s="3" customFormat="1" ht="54" x14ac:dyDescent="0.25">
      <c r="B40" s="10" t="s">
        <v>101</v>
      </c>
      <c r="C40" s="25" t="s">
        <v>102</v>
      </c>
      <c r="D40" s="16"/>
      <c r="E40" s="12"/>
      <c r="F40" s="12"/>
      <c r="G40" s="12"/>
      <c r="H40" s="12"/>
      <c r="I40" s="12"/>
      <c r="J40" s="12"/>
      <c r="K40" s="12"/>
      <c r="L40" s="12"/>
      <c r="M40" s="12"/>
      <c r="N40" s="12"/>
      <c r="O40" s="12" t="s">
        <v>1572</v>
      </c>
      <c r="P40" s="12"/>
      <c r="Q40" s="12"/>
      <c r="R40" s="12"/>
      <c r="S40" s="12"/>
      <c r="T40" s="12"/>
      <c r="U40" s="12"/>
      <c r="V40" s="12"/>
      <c r="W40" s="12"/>
      <c r="X40" s="12"/>
      <c r="Y40" s="12"/>
      <c r="Z40" s="12"/>
      <c r="AA40" s="12"/>
      <c r="AB40" s="12"/>
      <c r="AC40" s="12"/>
      <c r="AD40" s="17"/>
    </row>
    <row r="41" spans="2:30" s="3" customFormat="1" ht="270" x14ac:dyDescent="0.25">
      <c r="B41" s="10" t="s">
        <v>103</v>
      </c>
      <c r="C41" s="25" t="s">
        <v>104</v>
      </c>
      <c r="D41" s="16"/>
      <c r="E41" s="12"/>
      <c r="F41" s="12"/>
      <c r="G41" s="12"/>
      <c r="H41" s="12"/>
      <c r="I41" s="12"/>
      <c r="J41" s="12"/>
      <c r="K41" s="12"/>
      <c r="L41" s="12"/>
      <c r="M41" s="12"/>
      <c r="N41" s="12"/>
      <c r="O41" s="12" t="s">
        <v>1573</v>
      </c>
      <c r="P41" s="12" t="s">
        <v>1574</v>
      </c>
      <c r="Q41" s="12"/>
      <c r="R41" s="12"/>
      <c r="S41" s="12"/>
      <c r="T41" s="12"/>
      <c r="U41" s="12"/>
      <c r="V41" s="12"/>
      <c r="W41" s="12"/>
      <c r="X41" s="12"/>
      <c r="Y41" s="12"/>
      <c r="Z41" s="12"/>
      <c r="AA41" s="12"/>
      <c r="AB41" s="12"/>
      <c r="AC41" s="12"/>
      <c r="AD41" s="17"/>
    </row>
    <row r="42" spans="2:30" s="3" customFormat="1" ht="13.5" x14ac:dyDescent="0.25">
      <c r="B42" s="10" t="s">
        <v>105</v>
      </c>
      <c r="C42" s="25" t="s">
        <v>53</v>
      </c>
      <c r="D42" s="16"/>
      <c r="E42" s="12"/>
      <c r="F42" s="12"/>
      <c r="G42" s="12"/>
      <c r="H42" s="12"/>
      <c r="I42" s="12"/>
      <c r="J42" s="12"/>
      <c r="K42" s="12"/>
      <c r="L42" s="12"/>
      <c r="M42" s="12"/>
      <c r="N42" s="12"/>
      <c r="O42" s="12" t="s">
        <v>1562</v>
      </c>
      <c r="P42" s="12"/>
      <c r="Q42" s="12"/>
      <c r="R42" s="12"/>
      <c r="S42" s="12"/>
      <c r="T42" s="12"/>
      <c r="U42" s="12"/>
      <c r="V42" s="12"/>
      <c r="W42" s="12"/>
      <c r="X42" s="12"/>
      <c r="Y42" s="12"/>
      <c r="Z42" s="12"/>
      <c r="AA42" s="12"/>
      <c r="AB42" s="12"/>
      <c r="AC42" s="12"/>
      <c r="AD42" s="17"/>
    </row>
    <row r="43" spans="2:30" s="3" customFormat="1" ht="13.5" x14ac:dyDescent="0.25">
      <c r="B43" s="10" t="s">
        <v>106</v>
      </c>
      <c r="C43" s="25" t="s">
        <v>53</v>
      </c>
      <c r="D43" s="16"/>
      <c r="E43" s="12" t="str">
        <f>VLOOKUP(B43,'[1]ART 2 A)'!A:E,5,FALSE)</f>
        <v>Ex.</v>
      </c>
      <c r="F43" s="12"/>
      <c r="G43" s="12"/>
      <c r="H43" s="12"/>
      <c r="I43" s="12"/>
      <c r="J43" s="12"/>
      <c r="K43" s="12"/>
      <c r="L43" s="12"/>
      <c r="M43" s="12"/>
      <c r="N43" s="12"/>
      <c r="O43" s="12"/>
      <c r="P43" s="12"/>
      <c r="Q43" s="12"/>
      <c r="R43" s="12"/>
      <c r="S43" s="12"/>
      <c r="T43" s="12"/>
      <c r="U43" s="12"/>
      <c r="V43" s="12"/>
      <c r="W43" s="12"/>
      <c r="X43" s="12"/>
      <c r="Y43" s="12"/>
      <c r="Z43" s="12"/>
      <c r="AA43" s="12"/>
      <c r="AB43" s="12"/>
      <c r="AC43" s="12"/>
      <c r="AD43" s="17"/>
    </row>
    <row r="44" spans="2:30" s="3" customFormat="1" ht="40.5" x14ac:dyDescent="0.25">
      <c r="B44" s="10" t="s">
        <v>107</v>
      </c>
      <c r="C44" s="25" t="s">
        <v>53</v>
      </c>
      <c r="D44" s="16"/>
      <c r="E44" s="12" t="str">
        <f>VLOOKUP(B44,'[1]ART 2 A)'!A:E,5,FALSE)</f>
        <v>Ex.Excepto: Ciclohexilamina.</v>
      </c>
      <c r="F44" s="12"/>
      <c r="G44" s="12"/>
      <c r="H44" s="12"/>
      <c r="I44" s="12"/>
      <c r="J44" s="12"/>
      <c r="K44" s="12"/>
      <c r="L44" s="12"/>
      <c r="M44" s="12"/>
      <c r="N44" s="12"/>
      <c r="O44" s="12"/>
      <c r="P44" s="12"/>
      <c r="Q44" s="12"/>
      <c r="R44" s="12"/>
      <c r="S44" s="12"/>
      <c r="T44" s="12"/>
      <c r="U44" s="12"/>
      <c r="V44" s="12"/>
      <c r="W44" s="12"/>
      <c r="X44" s="12"/>
      <c r="Y44" s="12"/>
      <c r="Z44" s="12"/>
      <c r="AA44" s="12"/>
      <c r="AB44" s="12"/>
      <c r="AC44" s="12"/>
      <c r="AD44" s="17"/>
    </row>
    <row r="45" spans="2:30" s="3" customFormat="1" ht="67.5" x14ac:dyDescent="0.25">
      <c r="B45" s="10" t="s">
        <v>108</v>
      </c>
      <c r="C45" s="25" t="s">
        <v>109</v>
      </c>
      <c r="D45" s="16"/>
      <c r="E45" s="12"/>
      <c r="F45" s="12"/>
      <c r="G45" s="12"/>
      <c r="H45" s="12"/>
      <c r="I45" s="12"/>
      <c r="J45" s="12"/>
      <c r="K45" s="12"/>
      <c r="L45" s="12"/>
      <c r="M45" s="12"/>
      <c r="N45" s="12"/>
      <c r="O45" s="12" t="s">
        <v>1575</v>
      </c>
      <c r="P45" s="12"/>
      <c r="Q45" s="12"/>
      <c r="R45" s="12" t="s">
        <v>1575</v>
      </c>
      <c r="S45" s="12"/>
      <c r="T45" s="12"/>
      <c r="U45" s="12"/>
      <c r="V45" s="12"/>
      <c r="W45" s="12"/>
      <c r="X45" s="12" t="s">
        <v>1571</v>
      </c>
      <c r="Y45" s="12"/>
      <c r="Z45" s="12"/>
      <c r="AA45" s="12"/>
      <c r="AB45" s="12"/>
      <c r="AC45" s="12"/>
      <c r="AD45" s="17"/>
    </row>
    <row r="46" spans="2:30" s="3" customFormat="1" ht="27" x14ac:dyDescent="0.25">
      <c r="B46" s="10" t="s">
        <v>110</v>
      </c>
      <c r="C46" s="25" t="s">
        <v>111</v>
      </c>
      <c r="D46" s="16"/>
      <c r="E46" s="12"/>
      <c r="F46" s="12"/>
      <c r="G46" s="12"/>
      <c r="H46" s="12"/>
      <c r="I46" s="12"/>
      <c r="J46" s="12"/>
      <c r="K46" s="12"/>
      <c r="L46" s="12"/>
      <c r="M46" s="12"/>
      <c r="N46" s="12"/>
      <c r="O46" s="12" t="s">
        <v>1570</v>
      </c>
      <c r="P46" s="12"/>
      <c r="Q46" s="12"/>
      <c r="R46" s="12"/>
      <c r="S46" s="12"/>
      <c r="T46" s="12"/>
      <c r="U46" s="12"/>
      <c r="V46" s="12"/>
      <c r="W46" s="12" t="s">
        <v>1562</v>
      </c>
      <c r="X46" s="12"/>
      <c r="Y46" s="12"/>
      <c r="Z46" s="12"/>
      <c r="AA46" s="12"/>
      <c r="AB46" s="12"/>
      <c r="AC46" s="12"/>
      <c r="AD46" s="17"/>
    </row>
    <row r="47" spans="2:30" s="3" customFormat="1" ht="13.5" x14ac:dyDescent="0.25">
      <c r="B47" s="10" t="s">
        <v>112</v>
      </c>
      <c r="C47" s="25" t="s">
        <v>53</v>
      </c>
      <c r="D47" s="16"/>
      <c r="E47" s="12"/>
      <c r="F47" s="12"/>
      <c r="G47" s="12"/>
      <c r="H47" s="12"/>
      <c r="I47" s="12"/>
      <c r="J47" s="12"/>
      <c r="K47" s="12"/>
      <c r="L47" s="12"/>
      <c r="M47" s="12"/>
      <c r="N47" s="12"/>
      <c r="O47" s="12"/>
      <c r="P47" s="12"/>
      <c r="Q47" s="12"/>
      <c r="R47" s="12"/>
      <c r="S47" s="12"/>
      <c r="T47" s="12"/>
      <c r="U47" s="12"/>
      <c r="V47" s="12"/>
      <c r="W47" s="12" t="s">
        <v>1562</v>
      </c>
      <c r="X47" s="12"/>
      <c r="Y47" s="12"/>
      <c r="Z47" s="12"/>
      <c r="AA47" s="12"/>
      <c r="AB47" s="12"/>
      <c r="AC47" s="12"/>
      <c r="AD47" s="17"/>
    </row>
    <row r="48" spans="2:30" s="3" customFormat="1" ht="108" x14ac:dyDescent="0.25">
      <c r="B48" s="10" t="s">
        <v>113</v>
      </c>
      <c r="C48" s="25" t="s">
        <v>114</v>
      </c>
      <c r="D48" s="16"/>
      <c r="E48" s="12"/>
      <c r="F48" s="12"/>
      <c r="G48" s="12"/>
      <c r="H48" s="12"/>
      <c r="I48" s="12"/>
      <c r="J48" s="12"/>
      <c r="K48" s="12"/>
      <c r="L48" s="12"/>
      <c r="M48" s="12"/>
      <c r="N48" s="12"/>
      <c r="O48" s="12" t="s">
        <v>1570</v>
      </c>
      <c r="P48" s="12"/>
      <c r="Q48" s="12"/>
      <c r="R48" s="12"/>
      <c r="S48" s="12"/>
      <c r="T48" s="12"/>
      <c r="U48" s="12"/>
      <c r="V48" s="12"/>
      <c r="W48" s="12" t="s">
        <v>1571</v>
      </c>
      <c r="X48" s="12"/>
      <c r="Y48" s="12" t="s">
        <v>1570</v>
      </c>
      <c r="Z48" s="12"/>
      <c r="AA48" s="12"/>
      <c r="AB48" s="12"/>
      <c r="AC48" s="12"/>
      <c r="AD48" s="17"/>
    </row>
    <row r="49" spans="2:30" s="3" customFormat="1" ht="54" x14ac:dyDescent="0.25">
      <c r="B49" s="10" t="s">
        <v>115</v>
      </c>
      <c r="C49" s="25" t="s">
        <v>116</v>
      </c>
      <c r="D49" s="16"/>
      <c r="E49" s="12" t="str">
        <f>VLOOKUP(B49,'[1]ART 2 A)'!A:E,5,FALSE)</f>
        <v>Ex.</v>
      </c>
      <c r="F49" s="12"/>
      <c r="G49" s="12"/>
      <c r="H49" s="12" t="str">
        <f>VLOOKUP(B49,'[1]ART IV'!A:E,5,FALSE)</f>
        <v xml:space="preserve">Ex. </v>
      </c>
      <c r="I49" s="12"/>
      <c r="J49" s="12"/>
      <c r="K49" s="12"/>
      <c r="L49" s="12"/>
      <c r="M49" s="12"/>
      <c r="N49" s="12"/>
      <c r="O49" s="12"/>
      <c r="P49" s="12"/>
      <c r="Q49" s="12"/>
      <c r="R49" s="12"/>
      <c r="S49" s="12"/>
      <c r="T49" s="12"/>
      <c r="U49" s="12"/>
      <c r="V49" s="12"/>
      <c r="W49" s="12" t="s">
        <v>1562</v>
      </c>
      <c r="X49" s="12"/>
      <c r="Y49" s="12"/>
      <c r="Z49" s="12"/>
      <c r="AA49" s="12"/>
      <c r="AB49" s="12"/>
      <c r="AC49" s="12"/>
      <c r="AD49" s="17"/>
    </row>
    <row r="50" spans="2:30" s="3" customFormat="1" ht="67.5" x14ac:dyDescent="0.25">
      <c r="B50" s="10" t="s">
        <v>117</v>
      </c>
      <c r="C50" s="25" t="s">
        <v>118</v>
      </c>
      <c r="D50" s="16"/>
      <c r="E50" s="12"/>
      <c r="F50" s="12"/>
      <c r="G50" s="12"/>
      <c r="H50" s="12" t="str">
        <f>VLOOKUP(B50,'[1]ART IV'!A:E,5,FALSE)</f>
        <v xml:space="preserve">Ex. </v>
      </c>
      <c r="I50" s="12"/>
      <c r="J50" s="12"/>
      <c r="K50" s="12"/>
      <c r="L50" s="12"/>
      <c r="M50" s="12"/>
      <c r="N50" s="12"/>
      <c r="O50" s="12"/>
      <c r="P50" s="12"/>
      <c r="Q50" s="12"/>
      <c r="R50" s="12"/>
      <c r="S50" s="12"/>
      <c r="T50" s="12"/>
      <c r="U50" s="12"/>
      <c r="V50" s="12"/>
      <c r="W50" s="12" t="s">
        <v>1562</v>
      </c>
      <c r="X50" s="12"/>
      <c r="Y50" s="12"/>
      <c r="Z50" s="12"/>
      <c r="AA50" s="12"/>
      <c r="AB50" s="12"/>
      <c r="AC50" s="12"/>
      <c r="AD50" s="17"/>
    </row>
    <row r="51" spans="2:30" s="3" customFormat="1" ht="40.5" x14ac:dyDescent="0.25">
      <c r="B51" s="10" t="s">
        <v>119</v>
      </c>
      <c r="C51" s="25" t="s">
        <v>120</v>
      </c>
      <c r="D51" s="16"/>
      <c r="E51" s="12"/>
      <c r="F51" s="12"/>
      <c r="G51" s="12"/>
      <c r="H51" s="12" t="str">
        <f>VLOOKUP(B51,'[1]ART IV'!A:E,5,FALSE)</f>
        <v xml:space="preserve">Ex. </v>
      </c>
      <c r="I51" s="12"/>
      <c r="J51" s="12"/>
      <c r="K51" s="12"/>
      <c r="L51" s="12"/>
      <c r="M51" s="12"/>
      <c r="N51" s="12"/>
      <c r="O51" s="12"/>
      <c r="P51" s="12"/>
      <c r="Q51" s="12"/>
      <c r="R51" s="12"/>
      <c r="S51" s="12"/>
      <c r="T51" s="12"/>
      <c r="U51" s="12"/>
      <c r="V51" s="12"/>
      <c r="W51" s="12" t="s">
        <v>1562</v>
      </c>
      <c r="X51" s="12"/>
      <c r="Y51" s="12"/>
      <c r="Z51" s="12"/>
      <c r="AA51" s="12"/>
      <c r="AB51" s="12"/>
      <c r="AC51" s="12"/>
      <c r="AD51" s="17"/>
    </row>
    <row r="52" spans="2:30" s="3" customFormat="1" ht="81" x14ac:dyDescent="0.25">
      <c r="B52" s="10" t="s">
        <v>121</v>
      </c>
      <c r="C52" s="25" t="s">
        <v>122</v>
      </c>
      <c r="D52" s="16"/>
      <c r="E52" s="12"/>
      <c r="F52" s="12"/>
      <c r="G52" s="12"/>
      <c r="H52" s="12" t="str">
        <f>VLOOKUP(B52,'[1]ART IV'!A:E,5,FALSE)</f>
        <v xml:space="preserve">Ex. </v>
      </c>
      <c r="I52" s="12"/>
      <c r="J52" s="12"/>
      <c r="K52" s="12"/>
      <c r="L52" s="12"/>
      <c r="M52" s="12"/>
      <c r="N52" s="12"/>
      <c r="O52" s="12"/>
      <c r="P52" s="12"/>
      <c r="Q52" s="12"/>
      <c r="R52" s="12"/>
      <c r="S52" s="12"/>
      <c r="T52" s="12"/>
      <c r="U52" s="12"/>
      <c r="V52" s="12"/>
      <c r="W52" s="12" t="s">
        <v>1562</v>
      </c>
      <c r="X52" s="12"/>
      <c r="Y52" s="12"/>
      <c r="Z52" s="12"/>
      <c r="AA52" s="12"/>
      <c r="AB52" s="12"/>
      <c r="AC52" s="12"/>
      <c r="AD52" s="17"/>
    </row>
    <row r="53" spans="2:30" s="3" customFormat="1" ht="54" x14ac:dyDescent="0.25">
      <c r="B53" s="10" t="s">
        <v>123</v>
      </c>
      <c r="C53" s="25" t="s">
        <v>124</v>
      </c>
      <c r="D53" s="16"/>
      <c r="E53" s="12"/>
      <c r="F53" s="12"/>
      <c r="G53" s="12"/>
      <c r="H53" s="12" t="str">
        <f>VLOOKUP(B53,'[1]ART IV'!A:E,5,FALSE)</f>
        <v xml:space="preserve">Ex. </v>
      </c>
      <c r="I53" s="12"/>
      <c r="J53" s="12"/>
      <c r="K53" s="12"/>
      <c r="L53" s="12"/>
      <c r="M53" s="12"/>
      <c r="N53" s="12"/>
      <c r="O53" s="12"/>
      <c r="P53" s="12"/>
      <c r="Q53" s="12"/>
      <c r="R53" s="12"/>
      <c r="S53" s="12"/>
      <c r="T53" s="12"/>
      <c r="U53" s="12"/>
      <c r="V53" s="12"/>
      <c r="W53" s="12" t="s">
        <v>1562</v>
      </c>
      <c r="X53" s="12" t="s">
        <v>1571</v>
      </c>
      <c r="Y53" s="12"/>
      <c r="Z53" s="12"/>
      <c r="AA53" s="12"/>
      <c r="AB53" s="12"/>
      <c r="AC53" s="12"/>
      <c r="AD53" s="17"/>
    </row>
    <row r="54" spans="2:30" s="3" customFormat="1" ht="54" x14ac:dyDescent="0.25">
      <c r="B54" s="10" t="s">
        <v>125</v>
      </c>
      <c r="C54" s="25" t="s">
        <v>126</v>
      </c>
      <c r="D54" s="16"/>
      <c r="E54" s="12"/>
      <c r="F54" s="12"/>
      <c r="G54" s="12"/>
      <c r="H54" s="12" t="str">
        <f>VLOOKUP(B54,'[1]ART IV'!A:E,5,FALSE)</f>
        <v xml:space="preserve">Ex. </v>
      </c>
      <c r="I54" s="12"/>
      <c r="J54" s="12"/>
      <c r="K54" s="12"/>
      <c r="L54" s="12"/>
      <c r="M54" s="12"/>
      <c r="N54" s="12"/>
      <c r="O54" s="12"/>
      <c r="P54" s="12"/>
      <c r="Q54" s="12"/>
      <c r="R54" s="12"/>
      <c r="S54" s="12"/>
      <c r="T54" s="12"/>
      <c r="U54" s="12"/>
      <c r="V54" s="12"/>
      <c r="W54" s="12" t="s">
        <v>1562</v>
      </c>
      <c r="X54" s="12"/>
      <c r="Y54" s="12"/>
      <c r="Z54" s="12"/>
      <c r="AA54" s="12"/>
      <c r="AB54" s="12"/>
      <c r="AC54" s="12"/>
      <c r="AD54" s="17"/>
    </row>
    <row r="55" spans="2:30" s="3" customFormat="1" ht="67.5" x14ac:dyDescent="0.25">
      <c r="B55" s="10" t="s">
        <v>127</v>
      </c>
      <c r="C55" s="25" t="s">
        <v>128</v>
      </c>
      <c r="D55" s="16"/>
      <c r="E55" s="12" t="str">
        <f>VLOOKUP(B55,'[1]ART 2 A)'!A:E,5,FALSE)</f>
        <v>Ex.</v>
      </c>
      <c r="F55" s="12"/>
      <c r="G55" s="12"/>
      <c r="H55" s="12" t="str">
        <f>VLOOKUP(B55,'[1]ART IV'!A:E,5,FALSE)</f>
        <v xml:space="preserve">Ex. </v>
      </c>
      <c r="I55" s="12"/>
      <c r="J55" s="12"/>
      <c r="K55" s="12"/>
      <c r="L55" s="12"/>
      <c r="M55" s="12"/>
      <c r="N55" s="12"/>
      <c r="O55" s="12"/>
      <c r="P55" s="12"/>
      <c r="Q55" s="12"/>
      <c r="R55" s="12"/>
      <c r="S55" s="12"/>
      <c r="T55" s="12"/>
      <c r="U55" s="12"/>
      <c r="V55" s="12"/>
      <c r="W55" s="12" t="s">
        <v>1562</v>
      </c>
      <c r="X55" s="12" t="s">
        <v>1571</v>
      </c>
      <c r="Y55" s="12" t="s">
        <v>1576</v>
      </c>
      <c r="Z55" s="12"/>
      <c r="AA55" s="12"/>
      <c r="AB55" s="12"/>
      <c r="AC55" s="12"/>
      <c r="AD55" s="17"/>
    </row>
    <row r="56" spans="2:30" s="3" customFormat="1" ht="13.5" x14ac:dyDescent="0.25">
      <c r="B56" s="10" t="s">
        <v>129</v>
      </c>
      <c r="C56" s="25" t="s">
        <v>53</v>
      </c>
      <c r="D56" s="16" t="str">
        <f>VLOOKUP(B56,'[1]ART 1'!A:E,5,FALSE)</f>
        <v>Ex.</v>
      </c>
      <c r="E56" s="12"/>
      <c r="F56" s="12"/>
      <c r="G56" s="12"/>
      <c r="H56" s="12"/>
      <c r="I56" s="12"/>
      <c r="J56" s="12"/>
      <c r="K56" s="12"/>
      <c r="L56" s="12"/>
      <c r="M56" s="12"/>
      <c r="N56" s="12"/>
      <c r="O56" s="12" t="s">
        <v>1570</v>
      </c>
      <c r="P56" s="12"/>
      <c r="Q56" s="12"/>
      <c r="R56" s="12"/>
      <c r="S56" s="12"/>
      <c r="T56" s="12"/>
      <c r="U56" s="12"/>
      <c r="V56" s="12"/>
      <c r="W56" s="12"/>
      <c r="X56" s="12"/>
      <c r="Y56" s="12" t="s">
        <v>1570</v>
      </c>
      <c r="Z56" s="12"/>
      <c r="AA56" s="12"/>
      <c r="AB56" s="12"/>
      <c r="AC56" s="12"/>
      <c r="AD56" s="17"/>
    </row>
    <row r="57" spans="2:30" s="3" customFormat="1" ht="40.5" x14ac:dyDescent="0.25">
      <c r="B57" s="10" t="s">
        <v>130</v>
      </c>
      <c r="C57" s="25" t="s">
        <v>131</v>
      </c>
      <c r="D57" s="16"/>
      <c r="E57" s="12"/>
      <c r="F57" s="12"/>
      <c r="G57" s="12"/>
      <c r="H57" s="12"/>
      <c r="I57" s="12"/>
      <c r="J57" s="12"/>
      <c r="K57" s="12"/>
      <c r="L57" s="12"/>
      <c r="M57" s="12"/>
      <c r="N57" s="12"/>
      <c r="O57" s="12"/>
      <c r="P57" s="12"/>
      <c r="Q57" s="12"/>
      <c r="R57" s="12"/>
      <c r="S57" s="12"/>
      <c r="T57" s="12"/>
      <c r="U57" s="12"/>
      <c r="V57" s="12"/>
      <c r="W57" s="12"/>
      <c r="X57" s="12" t="s">
        <v>1570</v>
      </c>
      <c r="Y57" s="12"/>
      <c r="Z57" s="12"/>
      <c r="AA57" s="12"/>
      <c r="AB57" s="12"/>
      <c r="AC57" s="12"/>
      <c r="AD57" s="17"/>
    </row>
    <row r="58" spans="2:30" s="3" customFormat="1" ht="13.5" x14ac:dyDescent="0.25">
      <c r="B58" s="10" t="s">
        <v>132</v>
      </c>
      <c r="C58" s="25" t="s">
        <v>53</v>
      </c>
      <c r="D58" s="16"/>
      <c r="E58" s="12" t="str">
        <f>VLOOKUP(B58,'[1]ART 2 A)'!A:E,5,FALSE)</f>
        <v>Ex.</v>
      </c>
      <c r="F58" s="12"/>
      <c r="G58" s="12"/>
      <c r="H58" s="12"/>
      <c r="I58" s="12"/>
      <c r="J58" s="12"/>
      <c r="K58" s="12"/>
      <c r="L58" s="12"/>
      <c r="M58" s="12"/>
      <c r="N58" s="12"/>
      <c r="O58" s="12"/>
      <c r="P58" s="12"/>
      <c r="Q58" s="12"/>
      <c r="R58" s="12"/>
      <c r="S58" s="12"/>
      <c r="T58" s="12"/>
      <c r="U58" s="12"/>
      <c r="V58" s="12"/>
      <c r="W58" s="12"/>
      <c r="X58" s="12" t="s">
        <v>1570</v>
      </c>
      <c r="Y58" s="12"/>
      <c r="Z58" s="12"/>
      <c r="AA58" s="12"/>
      <c r="AB58" s="12"/>
      <c r="AC58" s="12"/>
      <c r="AD58" s="17"/>
    </row>
    <row r="59" spans="2:30" s="3" customFormat="1" ht="67.5" x14ac:dyDescent="0.25">
      <c r="B59" s="10" t="s">
        <v>133</v>
      </c>
      <c r="C59" s="25" t="s">
        <v>134</v>
      </c>
      <c r="D59" s="16"/>
      <c r="E59" s="12"/>
      <c r="F59" s="12"/>
      <c r="G59" s="12"/>
      <c r="H59" s="12"/>
      <c r="I59" s="12"/>
      <c r="J59" s="12"/>
      <c r="K59" s="12"/>
      <c r="L59" s="12"/>
      <c r="M59" s="12"/>
      <c r="N59" s="12"/>
      <c r="O59" s="12" t="s">
        <v>1570</v>
      </c>
      <c r="P59" s="12"/>
      <c r="Q59" s="12"/>
      <c r="R59" s="12"/>
      <c r="S59" s="12"/>
      <c r="T59" s="12"/>
      <c r="U59" s="12"/>
      <c r="V59" s="12"/>
      <c r="W59" s="12"/>
      <c r="X59" s="12"/>
      <c r="Y59" s="12"/>
      <c r="Z59" s="12"/>
      <c r="AA59" s="12"/>
      <c r="AB59" s="12"/>
      <c r="AC59" s="12"/>
      <c r="AD59" s="17"/>
    </row>
    <row r="60" spans="2:30" s="3" customFormat="1" ht="13.5" x14ac:dyDescent="0.25">
      <c r="B60" s="10" t="s">
        <v>135</v>
      </c>
      <c r="C60" s="25" t="s">
        <v>136</v>
      </c>
      <c r="D60" s="16"/>
      <c r="E60" s="12" t="str">
        <f>VLOOKUP(B60,'[1]ART 2 A)'!A:E,5,FALSE)</f>
        <v>Ex.</v>
      </c>
      <c r="F60" s="12"/>
      <c r="G60" s="12"/>
      <c r="H60" s="12"/>
      <c r="I60" s="12"/>
      <c r="J60" s="12"/>
      <c r="K60" s="12"/>
      <c r="L60" s="12"/>
      <c r="M60" s="12"/>
      <c r="N60" s="12"/>
      <c r="O60" s="12"/>
      <c r="P60" s="12"/>
      <c r="Q60" s="12"/>
      <c r="R60" s="12"/>
      <c r="S60" s="12"/>
      <c r="T60" s="12"/>
      <c r="U60" s="12"/>
      <c r="V60" s="12"/>
      <c r="W60" s="12"/>
      <c r="X60" s="12" t="s">
        <v>1562</v>
      </c>
      <c r="Y60" s="12"/>
      <c r="Z60" s="12"/>
      <c r="AA60" s="12"/>
      <c r="AB60" s="12"/>
      <c r="AC60" s="12"/>
      <c r="AD60" s="17"/>
    </row>
    <row r="61" spans="2:30" s="3" customFormat="1" ht="270" x14ac:dyDescent="0.25">
      <c r="B61" s="10" t="s">
        <v>137</v>
      </c>
      <c r="C61" s="25" t="s">
        <v>138</v>
      </c>
      <c r="D61" s="16"/>
      <c r="E61" s="12" t="str">
        <f>VLOOKUP(B61,'[1]ART 2 A)'!A:E,5,FALSE)</f>
        <v>Ex.</v>
      </c>
      <c r="F61" s="12"/>
      <c r="G61" s="12"/>
      <c r="H61" s="12" t="str">
        <f>VLOOKUP(B61,'[1]ART IV'!A:E,5,FALSE)</f>
        <v>Ex. Únicamente: Pinturas o barnices, excepto los barnices a base de resinas catiónicas de dimetilaminoetilmetacrilato o a base de resinas aniónicas del ácido metacrílico reaccionadas con ésteres del ácido metacrílico.</v>
      </c>
      <c r="I61" s="12"/>
      <c r="J61" s="12"/>
      <c r="K61" s="12"/>
      <c r="L61" s="12"/>
      <c r="M61" s="12"/>
      <c r="N61" s="12"/>
      <c r="O61" s="12" t="s">
        <v>1577</v>
      </c>
      <c r="P61" s="12"/>
      <c r="Q61" s="12"/>
      <c r="R61" s="12" t="s">
        <v>1577</v>
      </c>
      <c r="S61" s="12"/>
      <c r="T61" s="12"/>
      <c r="U61" s="12"/>
      <c r="V61" s="12"/>
      <c r="W61" s="12"/>
      <c r="X61" s="12" t="s">
        <v>1578</v>
      </c>
      <c r="Y61" s="12"/>
      <c r="Z61" s="12"/>
      <c r="AA61" s="12"/>
      <c r="AB61" s="12"/>
      <c r="AC61" s="12"/>
      <c r="AD61" s="17"/>
    </row>
    <row r="62" spans="2:30" s="3" customFormat="1" ht="67.5" x14ac:dyDescent="0.25">
      <c r="B62" s="10" t="s">
        <v>139</v>
      </c>
      <c r="C62" s="25" t="s">
        <v>140</v>
      </c>
      <c r="D62" s="16"/>
      <c r="E62" s="12" t="str">
        <f>VLOOKUP(B62,'[1]ART 2 A)'!A:E,5,FALSE)</f>
        <v>Ex.</v>
      </c>
      <c r="F62" s="12"/>
      <c r="G62" s="12"/>
      <c r="H62" s="12"/>
      <c r="I62" s="12"/>
      <c r="J62" s="12"/>
      <c r="K62" s="12"/>
      <c r="L62" s="12"/>
      <c r="M62" s="12"/>
      <c r="N62" s="12"/>
      <c r="O62" s="12"/>
      <c r="P62" s="12"/>
      <c r="Q62" s="12"/>
      <c r="R62" s="12"/>
      <c r="S62" s="12"/>
      <c r="T62" s="12"/>
      <c r="U62" s="12"/>
      <c r="V62" s="12"/>
      <c r="W62" s="12"/>
      <c r="X62" s="12" t="s">
        <v>1562</v>
      </c>
      <c r="Y62" s="12"/>
      <c r="Z62" s="12"/>
      <c r="AA62" s="12"/>
      <c r="AB62" s="12"/>
      <c r="AC62" s="12"/>
      <c r="AD62" s="17"/>
    </row>
    <row r="63" spans="2:30" s="3" customFormat="1" ht="13.5" x14ac:dyDescent="0.25">
      <c r="B63" s="10" t="s">
        <v>141</v>
      </c>
      <c r="C63" s="25" t="s">
        <v>53</v>
      </c>
      <c r="D63" s="16"/>
      <c r="E63" s="12" t="str">
        <f>VLOOKUP(B63,'[1]ART 2 A)'!A:E,5,FALSE)</f>
        <v>Ex.</v>
      </c>
      <c r="F63" s="12"/>
      <c r="G63" s="12"/>
      <c r="H63" s="12"/>
      <c r="I63" s="12"/>
      <c r="J63" s="12"/>
      <c r="K63" s="12"/>
      <c r="L63" s="12"/>
      <c r="M63" s="12"/>
      <c r="N63" s="12"/>
      <c r="O63" s="12"/>
      <c r="P63" s="12"/>
      <c r="Q63" s="12"/>
      <c r="R63" s="12"/>
      <c r="S63" s="12"/>
      <c r="T63" s="12"/>
      <c r="U63" s="12"/>
      <c r="V63" s="12"/>
      <c r="W63" s="12"/>
      <c r="X63" s="12" t="s">
        <v>1562</v>
      </c>
      <c r="Y63" s="12"/>
      <c r="Z63" s="12"/>
      <c r="AA63" s="12"/>
      <c r="AB63" s="12"/>
      <c r="AC63" s="12"/>
      <c r="AD63" s="17"/>
    </row>
    <row r="64" spans="2:30" s="3" customFormat="1" ht="13.5" x14ac:dyDescent="0.25">
      <c r="B64" s="10" t="s">
        <v>142</v>
      </c>
      <c r="C64" s="25" t="s">
        <v>53</v>
      </c>
      <c r="D64" s="16"/>
      <c r="E64" s="12"/>
      <c r="F64" s="12"/>
      <c r="G64" s="12"/>
      <c r="H64" s="12"/>
      <c r="I64" s="12"/>
      <c r="J64" s="12"/>
      <c r="K64" s="12"/>
      <c r="L64" s="12"/>
      <c r="M64" s="12"/>
      <c r="N64" s="12"/>
      <c r="O64" s="12" t="s">
        <v>1562</v>
      </c>
      <c r="P64" s="12"/>
      <c r="Q64" s="12"/>
      <c r="R64" s="12"/>
      <c r="S64" s="12"/>
      <c r="T64" s="12"/>
      <c r="U64" s="12"/>
      <c r="V64" s="12"/>
      <c r="W64" s="12"/>
      <c r="X64" s="12"/>
      <c r="Y64" s="12"/>
      <c r="Z64" s="12"/>
      <c r="AA64" s="12"/>
      <c r="AB64" s="12"/>
      <c r="AC64" s="12"/>
      <c r="AD64" s="17"/>
    </row>
    <row r="65" spans="2:30" s="3" customFormat="1" ht="54" x14ac:dyDescent="0.25">
      <c r="B65" s="10" t="s">
        <v>143</v>
      </c>
      <c r="C65" s="25" t="s">
        <v>144</v>
      </c>
      <c r="D65" s="16"/>
      <c r="E65" s="12"/>
      <c r="F65" s="12"/>
      <c r="G65" s="12"/>
      <c r="H65" s="12"/>
      <c r="I65" s="12"/>
      <c r="J65" s="12"/>
      <c r="K65" s="12"/>
      <c r="L65" s="12"/>
      <c r="M65" s="12"/>
      <c r="N65" s="12" t="s">
        <v>1562</v>
      </c>
      <c r="O65" s="12"/>
      <c r="P65" s="12"/>
      <c r="Q65" s="12"/>
      <c r="R65" s="12"/>
      <c r="S65" s="12"/>
      <c r="T65" s="12"/>
      <c r="U65" s="12"/>
      <c r="V65" s="12"/>
      <c r="W65" s="12"/>
      <c r="X65" s="12"/>
      <c r="Y65" s="12"/>
      <c r="Z65" s="12"/>
      <c r="AA65" s="12"/>
      <c r="AB65" s="12"/>
      <c r="AC65" s="12"/>
      <c r="AD65" s="17"/>
    </row>
    <row r="66" spans="2:30" s="3" customFormat="1" ht="13.5" x14ac:dyDescent="0.25">
      <c r="B66" s="10" t="s">
        <v>145</v>
      </c>
      <c r="C66" s="25" t="s">
        <v>53</v>
      </c>
      <c r="D66" s="16"/>
      <c r="E66" s="12"/>
      <c r="F66" s="12"/>
      <c r="G66" s="12"/>
      <c r="H66" s="12"/>
      <c r="I66" s="12"/>
      <c r="J66" s="12"/>
      <c r="K66" s="12"/>
      <c r="L66" s="12"/>
      <c r="M66" s="12"/>
      <c r="N66" s="12"/>
      <c r="O66" s="12"/>
      <c r="P66" s="12"/>
      <c r="Q66" s="12"/>
      <c r="R66" s="12"/>
      <c r="S66" s="12"/>
      <c r="T66" s="12"/>
      <c r="U66" s="12"/>
      <c r="V66" s="12"/>
      <c r="W66" s="12"/>
      <c r="X66" s="12"/>
      <c r="Y66" s="12"/>
      <c r="Z66" s="12"/>
      <c r="AA66" s="12"/>
      <c r="AB66" s="12" t="s">
        <v>146</v>
      </c>
      <c r="AC66" s="12"/>
      <c r="AD66" s="17"/>
    </row>
    <row r="67" spans="2:30" s="3" customFormat="1" ht="13.5" x14ac:dyDescent="0.25">
      <c r="B67" s="10" t="s">
        <v>147</v>
      </c>
      <c r="C67" s="25" t="s">
        <v>148</v>
      </c>
      <c r="D67" s="16"/>
      <c r="E67" s="12"/>
      <c r="F67" s="12"/>
      <c r="G67" s="12"/>
      <c r="H67" s="12"/>
      <c r="I67" s="12"/>
      <c r="J67" s="12"/>
      <c r="K67" s="12"/>
      <c r="L67" s="12"/>
      <c r="M67" s="12"/>
      <c r="N67" s="12"/>
      <c r="O67" s="12" t="s">
        <v>1562</v>
      </c>
      <c r="P67" s="12"/>
      <c r="Q67" s="12"/>
      <c r="R67" s="12"/>
      <c r="S67" s="12"/>
      <c r="T67" s="12"/>
      <c r="U67" s="12"/>
      <c r="V67" s="12"/>
      <c r="W67" s="12"/>
      <c r="X67" s="12"/>
      <c r="Y67" s="12"/>
      <c r="Z67" s="12"/>
      <c r="AA67" s="12"/>
      <c r="AB67" s="12"/>
      <c r="AC67" s="12"/>
      <c r="AD67" s="17"/>
    </row>
    <row r="68" spans="2:30" s="3" customFormat="1" ht="13.5" x14ac:dyDescent="0.25">
      <c r="B68" s="10" t="s">
        <v>149</v>
      </c>
      <c r="C68" s="25" t="s">
        <v>53</v>
      </c>
      <c r="D68" s="16"/>
      <c r="E68" s="12"/>
      <c r="F68" s="12"/>
      <c r="G68" s="12"/>
      <c r="H68" s="12"/>
      <c r="I68" s="12"/>
      <c r="J68" s="12"/>
      <c r="K68" s="12"/>
      <c r="L68" s="12"/>
      <c r="M68" s="12"/>
      <c r="N68" s="12"/>
      <c r="O68" s="12" t="s">
        <v>1562</v>
      </c>
      <c r="P68" s="12"/>
      <c r="Q68" s="12"/>
      <c r="R68" s="12"/>
      <c r="S68" s="12"/>
      <c r="T68" s="12"/>
      <c r="U68" s="12"/>
      <c r="V68" s="12"/>
      <c r="W68" s="12"/>
      <c r="X68" s="12"/>
      <c r="Y68" s="12"/>
      <c r="Z68" s="12"/>
      <c r="AA68" s="12"/>
      <c r="AB68" s="12"/>
      <c r="AC68" s="12"/>
      <c r="AD68" s="17"/>
    </row>
    <row r="69" spans="2:30" s="3" customFormat="1" ht="27" x14ac:dyDescent="0.25">
      <c r="B69" s="10" t="s">
        <v>150</v>
      </c>
      <c r="C69" s="25" t="s">
        <v>151</v>
      </c>
      <c r="D69" s="16"/>
      <c r="E69" s="12"/>
      <c r="F69" s="12"/>
      <c r="G69" s="12"/>
      <c r="H69" s="12"/>
      <c r="I69" s="12"/>
      <c r="J69" s="12"/>
      <c r="K69" s="12"/>
      <c r="L69" s="12"/>
      <c r="M69" s="12"/>
      <c r="N69" s="12"/>
      <c r="O69" s="12" t="s">
        <v>1562</v>
      </c>
      <c r="P69" s="12"/>
      <c r="Q69" s="12"/>
      <c r="R69" s="12"/>
      <c r="S69" s="12"/>
      <c r="T69" s="12"/>
      <c r="U69" s="12"/>
      <c r="V69" s="12"/>
      <c r="W69" s="12"/>
      <c r="X69" s="12"/>
      <c r="Y69" s="12"/>
      <c r="Z69" s="12"/>
      <c r="AA69" s="12"/>
      <c r="AB69" s="12"/>
      <c r="AC69" s="12"/>
      <c r="AD69" s="17"/>
    </row>
    <row r="70" spans="2:30" s="3" customFormat="1" ht="27" x14ac:dyDescent="0.25">
      <c r="B70" s="10" t="s">
        <v>152</v>
      </c>
      <c r="C70" s="25" t="s">
        <v>153</v>
      </c>
      <c r="D70" s="16"/>
      <c r="E70" s="12"/>
      <c r="F70" s="12"/>
      <c r="G70" s="12"/>
      <c r="H70" s="12"/>
      <c r="I70" s="12"/>
      <c r="J70" s="12"/>
      <c r="K70" s="12"/>
      <c r="L70" s="12"/>
      <c r="M70" s="12"/>
      <c r="N70" s="12"/>
      <c r="O70" s="12" t="s">
        <v>1562</v>
      </c>
      <c r="P70" s="12"/>
      <c r="Q70" s="12"/>
      <c r="R70" s="12"/>
      <c r="S70" s="12"/>
      <c r="T70" s="12"/>
      <c r="U70" s="12"/>
      <c r="V70" s="12"/>
      <c r="W70" s="12"/>
      <c r="X70" s="12"/>
      <c r="Y70" s="12"/>
      <c r="Z70" s="12"/>
      <c r="AA70" s="12"/>
      <c r="AB70" s="12"/>
      <c r="AC70" s="12"/>
      <c r="AD70" s="17"/>
    </row>
    <row r="71" spans="2:30" s="3" customFormat="1" ht="13.5" x14ac:dyDescent="0.25">
      <c r="B71" s="10" t="s">
        <v>154</v>
      </c>
      <c r="C71" s="25" t="s">
        <v>155</v>
      </c>
      <c r="D71" s="16"/>
      <c r="E71" s="12"/>
      <c r="F71" s="12"/>
      <c r="G71" s="12"/>
      <c r="H71" s="12"/>
      <c r="I71" s="12"/>
      <c r="J71" s="12"/>
      <c r="K71" s="12"/>
      <c r="L71" s="12"/>
      <c r="M71" s="12"/>
      <c r="N71" s="12"/>
      <c r="O71" s="12" t="s">
        <v>1562</v>
      </c>
      <c r="P71" s="12"/>
      <c r="Q71" s="12"/>
      <c r="R71" s="12"/>
      <c r="S71" s="12"/>
      <c r="T71" s="12"/>
      <c r="U71" s="12"/>
      <c r="V71" s="12"/>
      <c r="W71" s="12"/>
      <c r="X71" s="12"/>
      <c r="Y71" s="12"/>
      <c r="Z71" s="12"/>
      <c r="AA71" s="12"/>
      <c r="AB71" s="12"/>
      <c r="AC71" s="12"/>
      <c r="AD71" s="17"/>
    </row>
    <row r="72" spans="2:30" s="3" customFormat="1" ht="13.5" x14ac:dyDescent="0.25">
      <c r="B72" s="10" t="s">
        <v>156</v>
      </c>
      <c r="C72" s="25" t="s">
        <v>157</v>
      </c>
      <c r="D72" s="16"/>
      <c r="E72" s="12"/>
      <c r="F72" s="12"/>
      <c r="G72" s="12"/>
      <c r="H72" s="12"/>
      <c r="I72" s="12"/>
      <c r="J72" s="12"/>
      <c r="K72" s="12"/>
      <c r="L72" s="12"/>
      <c r="M72" s="12"/>
      <c r="N72" s="12"/>
      <c r="O72" s="12" t="s">
        <v>1562</v>
      </c>
      <c r="P72" s="12"/>
      <c r="Q72" s="12"/>
      <c r="R72" s="12"/>
      <c r="S72" s="12"/>
      <c r="T72" s="12"/>
      <c r="U72" s="12"/>
      <c r="V72" s="12"/>
      <c r="W72" s="12"/>
      <c r="X72" s="12"/>
      <c r="Y72" s="12"/>
      <c r="Z72" s="12"/>
      <c r="AA72" s="12"/>
      <c r="AB72" s="12"/>
      <c r="AC72" s="12"/>
      <c r="AD72" s="17"/>
    </row>
    <row r="73" spans="2:30" s="3" customFormat="1" ht="40.5" x14ac:dyDescent="0.25">
      <c r="B73" s="10" t="s">
        <v>158</v>
      </c>
      <c r="C73" s="25" t="s">
        <v>159</v>
      </c>
      <c r="D73" s="16"/>
      <c r="E73" s="12"/>
      <c r="F73" s="12"/>
      <c r="G73" s="12"/>
      <c r="H73" s="12"/>
      <c r="I73" s="12"/>
      <c r="J73" s="12"/>
      <c r="K73" s="12"/>
      <c r="L73" s="12"/>
      <c r="M73" s="12"/>
      <c r="N73" s="12"/>
      <c r="O73" s="12" t="s">
        <v>1579</v>
      </c>
      <c r="P73" s="12"/>
      <c r="Q73" s="12"/>
      <c r="R73" s="12"/>
      <c r="S73" s="12"/>
      <c r="T73" s="12"/>
      <c r="U73" s="12"/>
      <c r="V73" s="12"/>
      <c r="W73" s="12"/>
      <c r="X73" s="12"/>
      <c r="Y73" s="12"/>
      <c r="Z73" s="12"/>
      <c r="AA73" s="12"/>
      <c r="AB73" s="12"/>
      <c r="AC73" s="12"/>
      <c r="AD73" s="17"/>
    </row>
    <row r="74" spans="2:30" s="3" customFormat="1" ht="27" x14ac:dyDescent="0.25">
      <c r="B74" s="10" t="s">
        <v>160</v>
      </c>
      <c r="C74" s="25" t="s">
        <v>161</v>
      </c>
      <c r="D74" s="16"/>
      <c r="E74" s="12"/>
      <c r="F74" s="12"/>
      <c r="G74" s="12"/>
      <c r="H74" s="12"/>
      <c r="I74" s="12"/>
      <c r="J74" s="12"/>
      <c r="K74" s="12"/>
      <c r="L74" s="12"/>
      <c r="M74" s="12"/>
      <c r="N74" s="12"/>
      <c r="O74" s="12" t="s">
        <v>1570</v>
      </c>
      <c r="P74" s="12"/>
      <c r="Q74" s="12"/>
      <c r="R74" s="12"/>
      <c r="S74" s="12"/>
      <c r="T74" s="12"/>
      <c r="U74" s="12"/>
      <c r="V74" s="12"/>
      <c r="W74" s="12"/>
      <c r="X74" s="12"/>
      <c r="Y74" s="12"/>
      <c r="Z74" s="12"/>
      <c r="AA74" s="12"/>
      <c r="AB74" s="12"/>
      <c r="AC74" s="12"/>
      <c r="AD74" s="17"/>
    </row>
    <row r="75" spans="2:30" s="3" customFormat="1" ht="13.5" x14ac:dyDescent="0.25">
      <c r="B75" s="10" t="s">
        <v>162</v>
      </c>
      <c r="C75" s="25" t="s">
        <v>53</v>
      </c>
      <c r="D75" s="16"/>
      <c r="E75" s="12"/>
      <c r="F75" s="12"/>
      <c r="G75" s="12"/>
      <c r="H75" s="12"/>
      <c r="I75" s="12"/>
      <c r="J75" s="12"/>
      <c r="K75" s="12"/>
      <c r="L75" s="12"/>
      <c r="M75" s="12"/>
      <c r="N75" s="12"/>
      <c r="O75" s="12"/>
      <c r="P75" s="12"/>
      <c r="Q75" s="12"/>
      <c r="R75" s="12"/>
      <c r="S75" s="12"/>
      <c r="T75" s="12"/>
      <c r="U75" s="12"/>
      <c r="V75" s="12"/>
      <c r="W75" s="12"/>
      <c r="X75" s="12" t="s">
        <v>1571</v>
      </c>
      <c r="Y75" s="12"/>
      <c r="Z75" s="12"/>
      <c r="AA75" s="12"/>
      <c r="AB75" s="12"/>
      <c r="AC75" s="12"/>
      <c r="AD75" s="17"/>
    </row>
    <row r="76" spans="2:30" s="3" customFormat="1" ht="13.5" x14ac:dyDescent="0.25">
      <c r="B76" s="10" t="s">
        <v>163</v>
      </c>
      <c r="C76" s="25" t="s">
        <v>164</v>
      </c>
      <c r="D76" s="16"/>
      <c r="E76" s="12"/>
      <c r="F76" s="12"/>
      <c r="G76" s="12"/>
      <c r="H76" s="12"/>
      <c r="I76" s="12"/>
      <c r="J76" s="12"/>
      <c r="K76" s="12"/>
      <c r="L76" s="12"/>
      <c r="M76" s="12"/>
      <c r="N76" s="12"/>
      <c r="O76" s="12"/>
      <c r="P76" s="12" t="s">
        <v>1562</v>
      </c>
      <c r="Q76" s="12"/>
      <c r="R76" s="12"/>
      <c r="S76" s="12"/>
      <c r="T76" s="12"/>
      <c r="U76" s="12"/>
      <c r="V76" s="12"/>
      <c r="W76" s="12"/>
      <c r="X76" s="12" t="s">
        <v>1562</v>
      </c>
      <c r="Y76" s="12"/>
      <c r="Z76" s="12"/>
      <c r="AA76" s="12"/>
      <c r="AB76" s="12"/>
      <c r="AC76" s="12"/>
      <c r="AD76" s="17"/>
    </row>
    <row r="77" spans="2:30" s="3" customFormat="1" ht="13.5" x14ac:dyDescent="0.25">
      <c r="B77" s="10" t="s">
        <v>165</v>
      </c>
      <c r="C77" s="25" t="s">
        <v>53</v>
      </c>
      <c r="D77" s="16" t="str">
        <f>VLOOKUP(B77,'[1]ART 1'!A:E,5,FALSE)</f>
        <v>5</v>
      </c>
      <c r="E77" s="12" t="str">
        <f>VLOOKUP(B77,'[1]ART 2 A)'!A:E,5,FALSE)</f>
        <v>Ex.</v>
      </c>
      <c r="F77" s="12"/>
      <c r="G77" s="12"/>
      <c r="H77" s="12"/>
      <c r="I77" s="12"/>
      <c r="J77" s="12"/>
      <c r="K77" s="12"/>
      <c r="L77" s="12"/>
      <c r="M77" s="12"/>
      <c r="N77" s="12"/>
      <c r="O77" s="12" t="s">
        <v>1570</v>
      </c>
      <c r="P77" s="12"/>
      <c r="Q77" s="12"/>
      <c r="R77" s="12"/>
      <c r="S77" s="12"/>
      <c r="T77" s="12"/>
      <c r="U77" s="12"/>
      <c r="V77" s="12" t="s">
        <v>1570</v>
      </c>
      <c r="W77" s="12" t="s">
        <v>1562</v>
      </c>
      <c r="X77" s="12" t="s">
        <v>1571</v>
      </c>
      <c r="Y77" s="12" t="s">
        <v>1570</v>
      </c>
      <c r="Z77" s="12"/>
      <c r="AA77" s="12"/>
      <c r="AB77" s="12"/>
      <c r="AC77" s="12"/>
      <c r="AD77" s="17"/>
    </row>
    <row r="78" spans="2:30" s="3" customFormat="1" ht="81" x14ac:dyDescent="0.25">
      <c r="B78" s="10" t="s">
        <v>166</v>
      </c>
      <c r="C78" s="25" t="s">
        <v>167</v>
      </c>
      <c r="D78" s="16"/>
      <c r="E78" s="12"/>
      <c r="F78" s="12"/>
      <c r="G78" s="12"/>
      <c r="H78" s="12" t="str">
        <f>VLOOKUP(B78,'[1]ART IV'!A:E,5,FALSE)</f>
        <v xml:space="preserve">Ex. </v>
      </c>
      <c r="I78" s="12"/>
      <c r="J78" s="12"/>
      <c r="K78" s="12"/>
      <c r="L78" s="12"/>
      <c r="M78" s="12"/>
      <c r="N78" s="12"/>
      <c r="O78" s="12"/>
      <c r="P78" s="12"/>
      <c r="Q78" s="12"/>
      <c r="R78" s="12"/>
      <c r="S78" s="12"/>
      <c r="T78" s="12"/>
      <c r="U78" s="12"/>
      <c r="V78" s="12"/>
      <c r="W78" s="12"/>
      <c r="X78" s="12" t="s">
        <v>1571</v>
      </c>
      <c r="Y78" s="12"/>
      <c r="Z78" s="12"/>
      <c r="AA78" s="12"/>
      <c r="AB78" s="12"/>
      <c r="AC78" s="12"/>
      <c r="AD78" s="17"/>
    </row>
    <row r="79" spans="2:30" s="3" customFormat="1" ht="13.5" x14ac:dyDescent="0.25">
      <c r="B79" s="10" t="s">
        <v>168</v>
      </c>
      <c r="C79" s="25" t="s">
        <v>53</v>
      </c>
      <c r="D79" s="16"/>
      <c r="E79" s="12"/>
      <c r="F79" s="12"/>
      <c r="G79" s="12"/>
      <c r="H79" s="12"/>
      <c r="I79" s="12"/>
      <c r="J79" s="12"/>
      <c r="K79" s="12"/>
      <c r="L79" s="12"/>
      <c r="M79" s="12"/>
      <c r="N79" s="12"/>
      <c r="O79" s="12"/>
      <c r="P79" s="12"/>
      <c r="Q79" s="12"/>
      <c r="R79" s="12"/>
      <c r="S79" s="12"/>
      <c r="T79" s="12"/>
      <c r="U79" s="12"/>
      <c r="V79" s="12"/>
      <c r="W79" s="12"/>
      <c r="X79" s="12" t="s">
        <v>1571</v>
      </c>
      <c r="Y79" s="12"/>
      <c r="Z79" s="12"/>
      <c r="AA79" s="12"/>
      <c r="AB79" s="12"/>
      <c r="AC79" s="12"/>
      <c r="AD79" s="17"/>
    </row>
    <row r="80" spans="2:30" s="3" customFormat="1" ht="13.5" x14ac:dyDescent="0.25">
      <c r="B80" s="10" t="s">
        <v>169</v>
      </c>
      <c r="C80" s="25" t="s">
        <v>157</v>
      </c>
      <c r="D80" s="16"/>
      <c r="E80" s="12" t="str">
        <f>VLOOKUP(B80,'[1]ART 2 A)'!A:E,5,FALSE)</f>
        <v>Ex.</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7"/>
    </row>
    <row r="81" spans="2:30" s="3" customFormat="1" ht="40.5" x14ac:dyDescent="0.25">
      <c r="B81" s="10" t="s">
        <v>170</v>
      </c>
      <c r="C81" s="25" t="s">
        <v>171</v>
      </c>
      <c r="D81" s="16"/>
      <c r="E81" s="12"/>
      <c r="F81" s="12"/>
      <c r="G81" s="12"/>
      <c r="H81" s="12"/>
      <c r="I81" s="12"/>
      <c r="J81" s="12"/>
      <c r="K81" s="12"/>
      <c r="L81" s="12"/>
      <c r="M81" s="12"/>
      <c r="N81" s="12"/>
      <c r="O81" s="12"/>
      <c r="P81" s="12"/>
      <c r="Q81" s="12"/>
      <c r="R81" s="12"/>
      <c r="S81" s="12"/>
      <c r="T81" s="12"/>
      <c r="U81" s="12"/>
      <c r="V81" s="12"/>
      <c r="W81" s="12" t="s">
        <v>1571</v>
      </c>
      <c r="X81" s="12"/>
      <c r="Y81" s="12"/>
      <c r="Z81" s="12"/>
      <c r="AA81" s="12"/>
      <c r="AB81" s="12"/>
      <c r="AC81" s="12"/>
      <c r="AD81" s="17"/>
    </row>
    <row r="82" spans="2:30" s="3" customFormat="1" ht="40.5" x14ac:dyDescent="0.25">
      <c r="B82" s="10" t="s">
        <v>172</v>
      </c>
      <c r="C82" s="25" t="s">
        <v>171</v>
      </c>
      <c r="D82" s="16"/>
      <c r="E82" s="12"/>
      <c r="F82" s="12"/>
      <c r="G82" s="12"/>
      <c r="H82" s="12"/>
      <c r="I82" s="12"/>
      <c r="J82" s="12"/>
      <c r="K82" s="12"/>
      <c r="L82" s="12"/>
      <c r="M82" s="12"/>
      <c r="N82" s="12"/>
      <c r="O82" s="12"/>
      <c r="P82" s="12"/>
      <c r="Q82" s="12"/>
      <c r="R82" s="12"/>
      <c r="S82" s="12"/>
      <c r="T82" s="12"/>
      <c r="U82" s="12"/>
      <c r="V82" s="12"/>
      <c r="W82" s="12" t="s">
        <v>1571</v>
      </c>
      <c r="X82" s="12"/>
      <c r="Y82" s="12"/>
      <c r="Z82" s="12"/>
      <c r="AA82" s="12"/>
      <c r="AB82" s="12"/>
      <c r="AC82" s="12"/>
      <c r="AD82" s="17"/>
    </row>
    <row r="83" spans="2:30" s="3" customFormat="1" ht="13.5" x14ac:dyDescent="0.25">
      <c r="B83" s="10" t="s">
        <v>173</v>
      </c>
      <c r="C83" s="25" t="s">
        <v>157</v>
      </c>
      <c r="D83" s="16"/>
      <c r="E83" s="12"/>
      <c r="F83" s="12"/>
      <c r="G83" s="12"/>
      <c r="H83" s="12"/>
      <c r="I83" s="12"/>
      <c r="J83" s="12"/>
      <c r="K83" s="12"/>
      <c r="L83" s="12"/>
      <c r="M83" s="12"/>
      <c r="N83" s="12"/>
      <c r="O83" s="12"/>
      <c r="P83" s="12"/>
      <c r="Q83" s="12"/>
      <c r="R83" s="12"/>
      <c r="S83" s="12"/>
      <c r="T83" s="12"/>
      <c r="U83" s="12"/>
      <c r="V83" s="12"/>
      <c r="W83" s="12"/>
      <c r="X83" s="12" t="s">
        <v>1571</v>
      </c>
      <c r="Y83" s="12"/>
      <c r="Z83" s="12"/>
      <c r="AA83" s="12"/>
      <c r="AB83" s="12"/>
      <c r="AC83" s="12"/>
      <c r="AD83" s="17" t="s">
        <v>1562</v>
      </c>
    </row>
    <row r="84" spans="2:30" s="3" customFormat="1" ht="13.5" x14ac:dyDescent="0.25">
      <c r="B84" s="10" t="s">
        <v>174</v>
      </c>
      <c r="C84" s="25" t="s">
        <v>157</v>
      </c>
      <c r="D84" s="16"/>
      <c r="E84" s="12"/>
      <c r="F84" s="12"/>
      <c r="G84" s="12"/>
      <c r="H84" s="12"/>
      <c r="I84" s="12"/>
      <c r="J84" s="12"/>
      <c r="K84" s="12"/>
      <c r="L84" s="12"/>
      <c r="M84" s="12"/>
      <c r="N84" s="12"/>
      <c r="O84" s="12"/>
      <c r="P84" s="12"/>
      <c r="Q84" s="12"/>
      <c r="R84" s="12"/>
      <c r="S84" s="12"/>
      <c r="T84" s="12"/>
      <c r="U84" s="12"/>
      <c r="V84" s="12"/>
      <c r="W84" s="12" t="s">
        <v>1571</v>
      </c>
      <c r="X84" s="12" t="s">
        <v>1571</v>
      </c>
      <c r="Y84" s="12"/>
      <c r="Z84" s="12"/>
      <c r="AA84" s="12"/>
      <c r="AB84" s="12"/>
      <c r="AC84" s="12"/>
      <c r="AD84" s="17"/>
    </row>
    <row r="85" spans="2:30" s="3" customFormat="1" ht="54" x14ac:dyDescent="0.25">
      <c r="B85" s="10" t="s">
        <v>175</v>
      </c>
      <c r="C85" s="25" t="s">
        <v>176</v>
      </c>
      <c r="D85" s="16"/>
      <c r="E85" s="12"/>
      <c r="F85" s="12"/>
      <c r="G85" s="12"/>
      <c r="H85" s="12"/>
      <c r="I85" s="12"/>
      <c r="J85" s="12"/>
      <c r="K85" s="12"/>
      <c r="L85" s="12"/>
      <c r="M85" s="12"/>
      <c r="N85" s="12"/>
      <c r="O85" s="12"/>
      <c r="P85" s="12"/>
      <c r="Q85" s="12"/>
      <c r="R85" s="12"/>
      <c r="S85" s="12"/>
      <c r="T85" s="12"/>
      <c r="U85" s="12"/>
      <c r="V85" s="12"/>
      <c r="W85" s="12"/>
      <c r="X85" s="12" t="s">
        <v>1571</v>
      </c>
      <c r="Y85" s="12"/>
      <c r="Z85" s="12"/>
      <c r="AA85" s="12"/>
      <c r="AB85" s="12"/>
      <c r="AC85" s="12"/>
      <c r="AD85" s="17"/>
    </row>
    <row r="86" spans="2:30" s="3" customFormat="1" ht="27" x14ac:dyDescent="0.25">
      <c r="B86" s="10" t="s">
        <v>177</v>
      </c>
      <c r="C86" s="25" t="s">
        <v>178</v>
      </c>
      <c r="D86" s="16"/>
      <c r="E86" s="12"/>
      <c r="F86" s="12"/>
      <c r="G86" s="12"/>
      <c r="H86" s="12"/>
      <c r="I86" s="12"/>
      <c r="J86" s="12"/>
      <c r="K86" s="12"/>
      <c r="L86" s="12"/>
      <c r="M86" s="12"/>
      <c r="N86" s="12"/>
      <c r="O86" s="12" t="s">
        <v>1562</v>
      </c>
      <c r="P86" s="12"/>
      <c r="Q86" s="12"/>
      <c r="R86" s="12"/>
      <c r="S86" s="12"/>
      <c r="T86" s="12"/>
      <c r="U86" s="12"/>
      <c r="V86" s="12"/>
      <c r="W86" s="12"/>
      <c r="X86" s="12"/>
      <c r="Y86" s="12"/>
      <c r="Z86" s="12"/>
      <c r="AA86" s="12"/>
      <c r="AB86" s="12"/>
      <c r="AC86" s="12"/>
      <c r="AD86" s="17"/>
    </row>
    <row r="87" spans="2:30" s="3" customFormat="1" ht="13.5" x14ac:dyDescent="0.25">
      <c r="B87" s="10" t="s">
        <v>179</v>
      </c>
      <c r="C87" s="25" t="s">
        <v>180</v>
      </c>
      <c r="D87" s="16"/>
      <c r="E87" s="12"/>
      <c r="F87" s="12"/>
      <c r="G87" s="12"/>
      <c r="H87" s="12" t="str">
        <f>VLOOKUP(B87,'[1]ART IV'!A:E,5,FALSE)</f>
        <v xml:space="preserve">Ex. </v>
      </c>
      <c r="I87" s="12"/>
      <c r="J87" s="12"/>
      <c r="K87" s="12"/>
      <c r="L87" s="12"/>
      <c r="M87" s="12"/>
      <c r="N87" s="12"/>
      <c r="O87" s="12"/>
      <c r="P87" s="12"/>
      <c r="Q87" s="12"/>
      <c r="R87" s="12"/>
      <c r="S87" s="12"/>
      <c r="T87" s="12"/>
      <c r="U87" s="12"/>
      <c r="V87" s="12"/>
      <c r="W87" s="12"/>
      <c r="X87" s="12" t="s">
        <v>1571</v>
      </c>
      <c r="Y87" s="12"/>
      <c r="Z87" s="12"/>
      <c r="AA87" s="12"/>
      <c r="AB87" s="12"/>
      <c r="AC87" s="12"/>
      <c r="AD87" s="17"/>
    </row>
    <row r="88" spans="2:30" s="3" customFormat="1" ht="13.5" x14ac:dyDescent="0.25">
      <c r="B88" s="10" t="s">
        <v>181</v>
      </c>
      <c r="C88" s="25" t="s">
        <v>157</v>
      </c>
      <c r="D88" s="16" t="str">
        <f>VLOOKUP(B88,'[1]ART 1'!A:E,5,FALSE)</f>
        <v>Ex.</v>
      </c>
      <c r="E88" s="12" t="str">
        <f>VLOOKUP(B88,'[1]ART 2 A)'!A:E,5,FALSE)</f>
        <v>Ex.</v>
      </c>
      <c r="F88" s="12"/>
      <c r="G88" s="12"/>
      <c r="H88" s="12" t="str">
        <f>VLOOKUP(B88,'[1]ART IV'!A:E,5,FALSE)</f>
        <v xml:space="preserve">Ex. </v>
      </c>
      <c r="I88" s="12"/>
      <c r="J88" s="12"/>
      <c r="K88" s="12"/>
      <c r="L88" s="12"/>
      <c r="M88" s="12"/>
      <c r="N88" s="12" t="s">
        <v>1562</v>
      </c>
      <c r="O88" s="12"/>
      <c r="P88" s="12"/>
      <c r="Q88" s="12"/>
      <c r="R88" s="12"/>
      <c r="S88" s="12"/>
      <c r="T88" s="12"/>
      <c r="U88" s="12"/>
      <c r="V88" s="12"/>
      <c r="W88" s="12"/>
      <c r="X88" s="12" t="s">
        <v>1562</v>
      </c>
      <c r="Y88" s="12"/>
      <c r="Z88" s="12"/>
      <c r="AA88" s="12"/>
      <c r="AB88" s="12"/>
      <c r="AC88" s="12"/>
      <c r="AD88" s="17"/>
    </row>
    <row r="89" spans="2:30" s="3" customFormat="1" ht="27" x14ac:dyDescent="0.25">
      <c r="B89" s="10" t="s">
        <v>182</v>
      </c>
      <c r="C89" s="25" t="s">
        <v>183</v>
      </c>
      <c r="D89" s="16"/>
      <c r="E89" s="12" t="str">
        <f>VLOOKUP(B89,'[1]ART 2 A)'!A:E,5,FALSE)</f>
        <v>Ex.</v>
      </c>
      <c r="F89" s="12"/>
      <c r="G89" s="12"/>
      <c r="H89" s="12"/>
      <c r="I89" s="12"/>
      <c r="J89" s="12"/>
      <c r="K89" s="12"/>
      <c r="L89" s="12"/>
      <c r="M89" s="12"/>
      <c r="N89" s="12"/>
      <c r="O89" s="12"/>
      <c r="P89" s="12"/>
      <c r="Q89" s="12"/>
      <c r="R89" s="12"/>
      <c r="S89" s="12"/>
      <c r="T89" s="12"/>
      <c r="U89" s="12"/>
      <c r="V89" s="12"/>
      <c r="W89" s="12"/>
      <c r="X89" s="12" t="s">
        <v>1571</v>
      </c>
      <c r="Y89" s="12"/>
      <c r="Z89" s="12"/>
      <c r="AA89" s="12"/>
      <c r="AB89" s="12"/>
      <c r="AC89" s="12"/>
      <c r="AD89" s="17"/>
    </row>
    <row r="90" spans="2:30" s="3" customFormat="1" ht="13.5" x14ac:dyDescent="0.25">
      <c r="B90" s="10" t="s">
        <v>184</v>
      </c>
      <c r="C90" s="25" t="s">
        <v>185</v>
      </c>
      <c r="D90" s="16"/>
      <c r="E90" s="12" t="str">
        <f>VLOOKUP(B90,'[1]ART 2 A)'!A:E,5,FALSE)</f>
        <v>Ex.</v>
      </c>
      <c r="F90" s="12"/>
      <c r="G90" s="12"/>
      <c r="H90" s="12"/>
      <c r="I90" s="12"/>
      <c r="J90" s="12"/>
      <c r="K90" s="12"/>
      <c r="L90" s="12"/>
      <c r="M90" s="12"/>
      <c r="N90" s="12"/>
      <c r="O90" s="12"/>
      <c r="P90" s="12"/>
      <c r="Q90" s="12"/>
      <c r="R90" s="12"/>
      <c r="S90" s="12"/>
      <c r="T90" s="12"/>
      <c r="U90" s="12"/>
      <c r="V90" s="12"/>
      <c r="W90" s="12"/>
      <c r="X90" s="12" t="s">
        <v>1571</v>
      </c>
      <c r="Y90" s="12"/>
      <c r="Z90" s="12"/>
      <c r="AA90" s="12"/>
      <c r="AB90" s="12"/>
      <c r="AC90" s="12"/>
      <c r="AD90" s="17"/>
    </row>
    <row r="91" spans="2:30" s="3" customFormat="1" ht="229.5" x14ac:dyDescent="0.25">
      <c r="B91" s="10" t="s">
        <v>186</v>
      </c>
      <c r="C91" s="25" t="s">
        <v>187</v>
      </c>
      <c r="D91" s="16" t="str">
        <f>VLOOKUP(B91,'[1]ART 1'!A:E,5,FALSE)</f>
        <v>Ex.Únicamente: Adhesivos a base de resinas de poliuretano, del tipo poliol, poliéster o poliéter modificados con isocianatos, con o sin cargas y pigmentos.</v>
      </c>
      <c r="E91" s="12" t="str">
        <f>VLOOKUP(B91,'[1]ART 2 A)'!A:E,5,FALSE)</f>
        <v>Ex.</v>
      </c>
      <c r="F91" s="12"/>
      <c r="G91" s="12"/>
      <c r="H91" s="12"/>
      <c r="I91" s="12" t="str">
        <f>VLOOKUP(B91,'[1]ART 5'!A:E,5,FALSE)</f>
        <v>3 Únicamente: Adhesivos a base de resinas de poliuretano, del tipo poliol, poliéster o poliéter modificados con isocianatos, con o sin cargas y pigmentos.</v>
      </c>
      <c r="J91" s="12"/>
      <c r="K91" s="12"/>
      <c r="L91" s="12"/>
      <c r="M91" s="12"/>
      <c r="N91" s="12" t="s">
        <v>1580</v>
      </c>
      <c r="O91" s="12" t="s">
        <v>1580</v>
      </c>
      <c r="P91" s="12"/>
      <c r="Q91" s="12"/>
      <c r="R91" s="12"/>
      <c r="S91" s="12"/>
      <c r="T91" s="12"/>
      <c r="U91" s="12"/>
      <c r="V91" s="12"/>
      <c r="W91" s="12"/>
      <c r="X91" s="12" t="s">
        <v>1581</v>
      </c>
      <c r="Y91" s="12"/>
      <c r="Z91" s="12"/>
      <c r="AA91" s="12"/>
      <c r="AB91" s="12"/>
      <c r="AC91" s="12"/>
      <c r="AD91" s="17"/>
    </row>
    <row r="92" spans="2:30" s="3" customFormat="1" ht="13.5" x14ac:dyDescent="0.25">
      <c r="B92" s="10" t="s">
        <v>188</v>
      </c>
      <c r="C92" s="25" t="s">
        <v>53</v>
      </c>
      <c r="D92" s="16"/>
      <c r="E92" s="12" t="str">
        <f>VLOOKUP(B92,'[1]ART 2 A)'!A:E,5,FALSE)</f>
        <v>Ex.</v>
      </c>
      <c r="F92" s="12"/>
      <c r="G92" s="12"/>
      <c r="H92" s="12"/>
      <c r="I92" s="12"/>
      <c r="J92" s="12"/>
      <c r="K92" s="12"/>
      <c r="L92" s="12"/>
      <c r="M92" s="12"/>
      <c r="N92" s="12"/>
      <c r="O92" s="12"/>
      <c r="P92" s="12"/>
      <c r="Q92" s="12"/>
      <c r="R92" s="12"/>
      <c r="S92" s="12"/>
      <c r="T92" s="12"/>
      <c r="U92" s="12"/>
      <c r="V92" s="12"/>
      <c r="W92" s="12"/>
      <c r="X92" s="12" t="s">
        <v>1571</v>
      </c>
      <c r="Y92" s="12"/>
      <c r="Z92" s="12"/>
      <c r="AA92" s="12"/>
      <c r="AB92" s="12"/>
      <c r="AC92" s="12"/>
      <c r="AD92" s="17"/>
    </row>
    <row r="93" spans="2:30" s="3" customFormat="1" ht="13.5" x14ac:dyDescent="0.25">
      <c r="B93" s="10" t="s">
        <v>189</v>
      </c>
      <c r="C93" s="25" t="s">
        <v>190</v>
      </c>
      <c r="D93" s="16"/>
      <c r="E93" s="12" t="str">
        <f>VLOOKUP(B93,'[1]ART 2 A)'!A:E,5,FALSE)</f>
        <v>Ex.</v>
      </c>
      <c r="F93" s="12"/>
      <c r="G93" s="12"/>
      <c r="H93" s="12"/>
      <c r="I93" s="12"/>
      <c r="J93" s="12"/>
      <c r="K93" s="12"/>
      <c r="L93" s="12"/>
      <c r="M93" s="12"/>
      <c r="N93" s="12"/>
      <c r="O93" s="12"/>
      <c r="P93" s="12"/>
      <c r="Q93" s="12"/>
      <c r="R93" s="12"/>
      <c r="S93" s="12"/>
      <c r="T93" s="12"/>
      <c r="U93" s="12"/>
      <c r="V93" s="12"/>
      <c r="W93" s="12"/>
      <c r="X93" s="12" t="s">
        <v>1571</v>
      </c>
      <c r="Y93" s="12"/>
      <c r="Z93" s="12"/>
      <c r="AA93" s="12"/>
      <c r="AB93" s="12"/>
      <c r="AC93" s="12"/>
      <c r="AD93" s="17" t="s">
        <v>1562</v>
      </c>
    </row>
    <row r="94" spans="2:30" s="3" customFormat="1" ht="54" x14ac:dyDescent="0.25">
      <c r="B94" s="10" t="s">
        <v>191</v>
      </c>
      <c r="C94" s="25" t="s">
        <v>192</v>
      </c>
      <c r="D94" s="16"/>
      <c r="E94" s="12"/>
      <c r="F94" s="12"/>
      <c r="G94" s="12"/>
      <c r="H94" s="12"/>
      <c r="I94" s="12"/>
      <c r="J94" s="12"/>
      <c r="K94" s="12"/>
      <c r="L94" s="12"/>
      <c r="M94" s="12"/>
      <c r="N94" s="12"/>
      <c r="O94" s="12"/>
      <c r="P94" s="12"/>
      <c r="Q94" s="12"/>
      <c r="R94" s="12"/>
      <c r="S94" s="12"/>
      <c r="T94" s="12"/>
      <c r="U94" s="12"/>
      <c r="V94" s="12"/>
      <c r="W94" s="12"/>
      <c r="X94" s="12"/>
      <c r="Y94" s="12" t="s">
        <v>1571</v>
      </c>
      <c r="Z94" s="12"/>
      <c r="AA94" s="12"/>
      <c r="AB94" s="12"/>
      <c r="AC94" s="12"/>
      <c r="AD94" s="17"/>
    </row>
    <row r="95" spans="2:30" s="3" customFormat="1" ht="13.5" x14ac:dyDescent="0.25">
      <c r="B95" s="10" t="s">
        <v>193</v>
      </c>
      <c r="C95" s="25" t="s">
        <v>53</v>
      </c>
      <c r="D95" s="16"/>
      <c r="E95" s="12"/>
      <c r="F95" s="12"/>
      <c r="G95" s="12"/>
      <c r="H95" s="12"/>
      <c r="I95" s="12"/>
      <c r="J95" s="12"/>
      <c r="K95" s="12"/>
      <c r="L95" s="12"/>
      <c r="M95" s="12"/>
      <c r="N95" s="12"/>
      <c r="O95" s="12"/>
      <c r="P95" s="12"/>
      <c r="Q95" s="12"/>
      <c r="R95" s="12"/>
      <c r="S95" s="12"/>
      <c r="T95" s="12"/>
      <c r="U95" s="12"/>
      <c r="V95" s="12"/>
      <c r="W95" s="12"/>
      <c r="X95" s="12"/>
      <c r="Y95" s="12" t="s">
        <v>1570</v>
      </c>
      <c r="Z95" s="12"/>
      <c r="AA95" s="12"/>
      <c r="AB95" s="12"/>
      <c r="AC95" s="12"/>
      <c r="AD95" s="17"/>
    </row>
    <row r="96" spans="2:30" s="3" customFormat="1" ht="27" x14ac:dyDescent="0.25">
      <c r="B96" s="10" t="s">
        <v>194</v>
      </c>
      <c r="C96" s="25" t="s">
        <v>195</v>
      </c>
      <c r="D96" s="16"/>
      <c r="E96" s="12"/>
      <c r="F96" s="12"/>
      <c r="G96" s="12"/>
      <c r="H96" s="12"/>
      <c r="I96" s="12"/>
      <c r="J96" s="12"/>
      <c r="K96" s="12"/>
      <c r="L96" s="12"/>
      <c r="M96" s="12"/>
      <c r="N96" s="12"/>
      <c r="O96" s="12" t="s">
        <v>1570</v>
      </c>
      <c r="P96" s="12"/>
      <c r="Q96" s="12"/>
      <c r="R96" s="12"/>
      <c r="S96" s="12"/>
      <c r="T96" s="12"/>
      <c r="U96" s="12"/>
      <c r="V96" s="12"/>
      <c r="W96" s="12" t="s">
        <v>1571</v>
      </c>
      <c r="X96" s="12"/>
      <c r="Y96" s="12"/>
      <c r="Z96" s="12"/>
      <c r="AA96" s="12"/>
      <c r="AB96" s="12"/>
      <c r="AC96" s="12"/>
      <c r="AD96" s="17"/>
    </row>
    <row r="97" spans="2:30" s="3" customFormat="1" ht="54" x14ac:dyDescent="0.25">
      <c r="B97" s="10" t="s">
        <v>196</v>
      </c>
      <c r="C97" s="25" t="s">
        <v>197</v>
      </c>
      <c r="D97" s="16"/>
      <c r="E97" s="12" t="str">
        <f>VLOOKUP(B97,'[1]ART 2 A)'!A:E,5,FALSE)</f>
        <v>Ex.</v>
      </c>
      <c r="F97" s="12"/>
      <c r="G97" s="12"/>
      <c r="H97" s="12"/>
      <c r="I97" s="12"/>
      <c r="J97" s="12"/>
      <c r="K97" s="12"/>
      <c r="L97" s="12"/>
      <c r="M97" s="12"/>
      <c r="N97" s="12"/>
      <c r="O97" s="12"/>
      <c r="P97" s="12"/>
      <c r="Q97" s="12"/>
      <c r="R97" s="12"/>
      <c r="S97" s="12"/>
      <c r="T97" s="12"/>
      <c r="U97" s="12"/>
      <c r="V97" s="12"/>
      <c r="W97" s="12"/>
      <c r="X97" s="12"/>
      <c r="Y97" s="12"/>
      <c r="Z97" s="12"/>
      <c r="AA97" s="12"/>
      <c r="AB97" s="12"/>
      <c r="AC97" s="12"/>
      <c r="AD97" s="17"/>
    </row>
    <row r="98" spans="2:30" s="3" customFormat="1" ht="148.5" x14ac:dyDescent="0.25">
      <c r="B98" s="10" t="s">
        <v>198</v>
      </c>
      <c r="C98" s="25" t="s">
        <v>199</v>
      </c>
      <c r="D98" s="16"/>
      <c r="E98" s="12" t="str">
        <f>VLOOKUP(B98,'[1]ART 2 A)'!A:E,5,FALSE)</f>
        <v>Ex.Excepto: Estabilizantes para compuestos plásticos vinílicos, a base de estaño, plomo, calcio, bario, cinc y/o cadmio.</v>
      </c>
      <c r="F98" s="12"/>
      <c r="G98" s="12"/>
      <c r="H98" s="12"/>
      <c r="I98" s="12"/>
      <c r="J98" s="12"/>
      <c r="K98" s="12"/>
      <c r="L98" s="12"/>
      <c r="M98" s="12"/>
      <c r="N98" s="12"/>
      <c r="O98" s="12"/>
      <c r="P98" s="12"/>
      <c r="Q98" s="12"/>
      <c r="R98" s="12"/>
      <c r="S98" s="12"/>
      <c r="T98" s="12"/>
      <c r="U98" s="12"/>
      <c r="V98" s="12"/>
      <c r="W98" s="12"/>
      <c r="X98" s="12" t="s">
        <v>1582</v>
      </c>
      <c r="Y98" s="12"/>
      <c r="Z98" s="12"/>
      <c r="AA98" s="12"/>
      <c r="AB98" s="12"/>
      <c r="AC98" s="12"/>
      <c r="AD98" s="17"/>
    </row>
    <row r="99" spans="2:30" s="3" customFormat="1" ht="67.5" x14ac:dyDescent="0.25">
      <c r="B99" s="10" t="s">
        <v>200</v>
      </c>
      <c r="C99" s="25" t="s">
        <v>201</v>
      </c>
      <c r="D99" s="16" t="str">
        <f>VLOOKUP(B99,'[1]ART 1'!A:E,5,FALSE)</f>
        <v>Ex.</v>
      </c>
      <c r="E99" s="12" t="str">
        <f>VLOOKUP(B99,'[1]ART 2 A)'!A:E,5,FALSE)</f>
        <v>Ex.</v>
      </c>
      <c r="F99" s="12"/>
      <c r="G99" s="12" t="str">
        <f>VLOOKUP(B99,'[1]ART 3'!A:E,5,FALSE)</f>
        <v xml:space="preserve">Ex. </v>
      </c>
      <c r="H99" s="12" t="str">
        <f>VLOOKUP(B99,'[1]ART IV'!A:E,5,FALSE)</f>
        <v xml:space="preserve">Ex. </v>
      </c>
      <c r="I99" s="12" t="str">
        <f>VLOOKUP(B99,'[1]ART 5'!A:E,5,FALSE)</f>
        <v xml:space="preserve">Ex. </v>
      </c>
      <c r="J99" s="12"/>
      <c r="K99" s="12"/>
      <c r="L99" s="12"/>
      <c r="M99" s="12"/>
      <c r="N99" s="12" t="s">
        <v>1570</v>
      </c>
      <c r="O99" s="12" t="s">
        <v>1562</v>
      </c>
      <c r="P99" s="12"/>
      <c r="Q99" s="12"/>
      <c r="R99" s="12"/>
      <c r="S99" s="12"/>
      <c r="T99" s="12"/>
      <c r="U99" s="12"/>
      <c r="V99" s="12"/>
      <c r="W99" s="12"/>
      <c r="X99" s="12" t="s">
        <v>1571</v>
      </c>
      <c r="Y99" s="12" t="s">
        <v>1576</v>
      </c>
      <c r="Z99" s="12"/>
      <c r="AA99" s="12"/>
      <c r="AB99" s="12"/>
      <c r="AC99" s="12"/>
      <c r="AD99" s="17"/>
    </row>
    <row r="100" spans="2:30" s="3" customFormat="1" ht="40.5" x14ac:dyDescent="0.25">
      <c r="B100" s="10" t="s">
        <v>202</v>
      </c>
      <c r="C100" s="25" t="s">
        <v>203</v>
      </c>
      <c r="D100" s="16"/>
      <c r="E100" s="12"/>
      <c r="F100" s="12"/>
      <c r="G100" s="12"/>
      <c r="H100" s="12"/>
      <c r="I100" s="12"/>
      <c r="J100" s="12"/>
      <c r="K100" s="12"/>
      <c r="L100" s="12"/>
      <c r="M100" s="12"/>
      <c r="N100" s="12"/>
      <c r="O100" s="12"/>
      <c r="P100" s="12"/>
      <c r="Q100" s="12"/>
      <c r="R100" s="12"/>
      <c r="S100" s="12"/>
      <c r="T100" s="12"/>
      <c r="U100" s="12"/>
      <c r="V100" s="12"/>
      <c r="W100" s="12"/>
      <c r="X100" s="12" t="s">
        <v>1571</v>
      </c>
      <c r="Y100" s="12"/>
      <c r="Z100" s="12"/>
      <c r="AA100" s="12"/>
      <c r="AB100" s="12"/>
      <c r="AC100" s="12"/>
      <c r="AD100" s="17"/>
    </row>
    <row r="101" spans="2:30" s="3" customFormat="1" ht="13.5" x14ac:dyDescent="0.25">
      <c r="B101" s="10" t="s">
        <v>204</v>
      </c>
      <c r="C101" s="25" t="s">
        <v>53</v>
      </c>
      <c r="D101" s="16" t="str">
        <f>VLOOKUP(B101,'[1]ART 1'!A:E,5,FALSE)</f>
        <v>5</v>
      </c>
      <c r="E101" s="12"/>
      <c r="F101" s="12"/>
      <c r="G101" s="12"/>
      <c r="H101" s="12"/>
      <c r="I101" s="12"/>
      <c r="J101" s="12"/>
      <c r="K101" s="12"/>
      <c r="L101" s="12"/>
      <c r="M101" s="12"/>
      <c r="N101" s="12"/>
      <c r="O101" s="12"/>
      <c r="P101" s="12"/>
      <c r="Q101" s="12"/>
      <c r="R101" s="12"/>
      <c r="S101" s="12"/>
      <c r="T101" s="12"/>
      <c r="U101" s="12"/>
      <c r="V101" s="12"/>
      <c r="W101" s="12"/>
      <c r="X101" s="12" t="s">
        <v>1571</v>
      </c>
      <c r="Y101" s="12"/>
      <c r="Z101" s="12"/>
      <c r="AA101" s="12"/>
      <c r="AB101" s="12"/>
      <c r="AC101" s="12"/>
      <c r="AD101" s="17"/>
    </row>
    <row r="102" spans="2:30" s="3" customFormat="1" ht="40.5" x14ac:dyDescent="0.25">
      <c r="B102" s="10" t="s">
        <v>205</v>
      </c>
      <c r="C102" s="25" t="s">
        <v>206</v>
      </c>
      <c r="D102" s="16"/>
      <c r="E102" s="12" t="str">
        <f>VLOOKUP(B102,'[1]ART 2 A)'!A:E,5,FALSE)</f>
        <v>Ex.</v>
      </c>
      <c r="F102" s="12"/>
      <c r="G102" s="12"/>
      <c r="H102" s="12"/>
      <c r="I102" s="12"/>
      <c r="J102" s="12"/>
      <c r="K102" s="12"/>
      <c r="L102" s="12"/>
      <c r="M102" s="12"/>
      <c r="N102" s="12"/>
      <c r="O102" s="12"/>
      <c r="P102" s="12"/>
      <c r="Q102" s="12"/>
      <c r="R102" s="12"/>
      <c r="S102" s="12"/>
      <c r="T102" s="12"/>
      <c r="U102" s="12"/>
      <c r="V102" s="12"/>
      <c r="W102" s="12"/>
      <c r="X102" s="12" t="s">
        <v>1571</v>
      </c>
      <c r="Y102" s="12"/>
      <c r="Z102" s="12"/>
      <c r="AA102" s="12"/>
      <c r="AB102" s="12"/>
      <c r="AC102" s="12"/>
      <c r="AD102" s="17"/>
    </row>
    <row r="103" spans="2:30" s="3" customFormat="1" ht="108" x14ac:dyDescent="0.25">
      <c r="B103" s="10" t="s">
        <v>207</v>
      </c>
      <c r="C103" s="25" t="s">
        <v>208</v>
      </c>
      <c r="D103" s="16"/>
      <c r="E103" s="12" t="str">
        <f>VLOOKUP(B103,'[1]ART 2 A)'!A:E,5,FALSE)</f>
        <v>Ex.</v>
      </c>
      <c r="F103" s="12"/>
      <c r="G103" s="12"/>
      <c r="H103" s="12"/>
      <c r="I103" s="12"/>
      <c r="J103" s="12"/>
      <c r="K103" s="12"/>
      <c r="L103" s="12"/>
      <c r="M103" s="12"/>
      <c r="N103" s="12"/>
      <c r="O103" s="12" t="s">
        <v>1562</v>
      </c>
      <c r="P103" s="12"/>
      <c r="Q103" s="12"/>
      <c r="R103" s="12"/>
      <c r="S103" s="12"/>
      <c r="T103" s="12"/>
      <c r="U103" s="12"/>
      <c r="V103" s="12"/>
      <c r="W103" s="12"/>
      <c r="X103" s="12" t="s">
        <v>1571</v>
      </c>
      <c r="Y103" s="12"/>
      <c r="Z103" s="12"/>
      <c r="AA103" s="12"/>
      <c r="AB103" s="12"/>
      <c r="AC103" s="12"/>
      <c r="AD103" s="17" t="s">
        <v>1562</v>
      </c>
    </row>
    <row r="104" spans="2:30" s="3" customFormat="1" ht="40.5" x14ac:dyDescent="0.25">
      <c r="B104" s="10" t="s">
        <v>209</v>
      </c>
      <c r="C104" s="25" t="s">
        <v>210</v>
      </c>
      <c r="D104" s="16"/>
      <c r="E104" s="12" t="str">
        <f>VLOOKUP(B104,'[1]ART 2 A)'!A:E,5,FALSE)</f>
        <v>Ex.</v>
      </c>
      <c r="F104" s="12"/>
      <c r="G104" s="12"/>
      <c r="H104" s="12"/>
      <c r="I104" s="12"/>
      <c r="J104" s="12"/>
      <c r="K104" s="12"/>
      <c r="L104" s="12"/>
      <c r="M104" s="12"/>
      <c r="N104" s="12"/>
      <c r="O104" s="12" t="s">
        <v>1562</v>
      </c>
      <c r="P104" s="12"/>
      <c r="Q104" s="12"/>
      <c r="R104" s="12"/>
      <c r="S104" s="12"/>
      <c r="T104" s="12"/>
      <c r="U104" s="12"/>
      <c r="V104" s="12"/>
      <c r="W104" s="12"/>
      <c r="X104" s="12" t="s">
        <v>1571</v>
      </c>
      <c r="Y104" s="12"/>
      <c r="Z104" s="12"/>
      <c r="AA104" s="12"/>
      <c r="AB104" s="12"/>
      <c r="AC104" s="12"/>
      <c r="AD104" s="17" t="s">
        <v>1562</v>
      </c>
    </row>
    <row r="105" spans="2:30" s="3" customFormat="1" ht="27" x14ac:dyDescent="0.25">
      <c r="B105" s="10" t="s">
        <v>211</v>
      </c>
      <c r="C105" s="25" t="s">
        <v>212</v>
      </c>
      <c r="D105" s="16"/>
      <c r="E105" s="12" t="str">
        <f>VLOOKUP(B105,'[1]ART 2 A)'!A:E,5,FALSE)</f>
        <v>Ex.</v>
      </c>
      <c r="F105" s="12"/>
      <c r="G105" s="12"/>
      <c r="H105" s="12"/>
      <c r="I105" s="12"/>
      <c r="J105" s="12"/>
      <c r="K105" s="12"/>
      <c r="L105" s="12"/>
      <c r="M105" s="12"/>
      <c r="N105" s="12"/>
      <c r="O105" s="12" t="s">
        <v>1562</v>
      </c>
      <c r="P105" s="12"/>
      <c r="Q105" s="12"/>
      <c r="R105" s="12"/>
      <c r="S105" s="12"/>
      <c r="T105" s="12"/>
      <c r="U105" s="12"/>
      <c r="V105" s="12"/>
      <c r="W105" s="12"/>
      <c r="X105" s="12" t="s">
        <v>1571</v>
      </c>
      <c r="Y105" s="12"/>
      <c r="Z105" s="12"/>
      <c r="AA105" s="12"/>
      <c r="AB105" s="12"/>
      <c r="AC105" s="12"/>
      <c r="AD105" s="17" t="s">
        <v>1562</v>
      </c>
    </row>
    <row r="106" spans="2:30" s="3" customFormat="1" ht="67.5" x14ac:dyDescent="0.25">
      <c r="B106" s="10" t="s">
        <v>213</v>
      </c>
      <c r="C106" s="25" t="s">
        <v>214</v>
      </c>
      <c r="D106" s="16"/>
      <c r="E106" s="12" t="str">
        <f>VLOOKUP(B106,'[1]ART 2 A)'!A:E,5,FALSE)</f>
        <v>Ex.</v>
      </c>
      <c r="F106" s="12"/>
      <c r="G106" s="12"/>
      <c r="H106" s="12"/>
      <c r="I106" s="12"/>
      <c r="J106" s="12"/>
      <c r="K106" s="12"/>
      <c r="L106" s="12"/>
      <c r="M106" s="12"/>
      <c r="N106" s="12"/>
      <c r="O106" s="12" t="s">
        <v>1562</v>
      </c>
      <c r="P106" s="12"/>
      <c r="Q106" s="12"/>
      <c r="R106" s="12"/>
      <c r="S106" s="12"/>
      <c r="T106" s="12"/>
      <c r="U106" s="12"/>
      <c r="V106" s="12"/>
      <c r="W106" s="12"/>
      <c r="X106" s="12" t="s">
        <v>1571</v>
      </c>
      <c r="Y106" s="12"/>
      <c r="Z106" s="12"/>
      <c r="AA106" s="12"/>
      <c r="AB106" s="12"/>
      <c r="AC106" s="12"/>
      <c r="AD106" s="17" t="s">
        <v>1562</v>
      </c>
    </row>
    <row r="107" spans="2:30" s="3" customFormat="1" ht="40.5" x14ac:dyDescent="0.25">
      <c r="B107" s="10" t="s">
        <v>215</v>
      </c>
      <c r="C107" s="25" t="s">
        <v>216</v>
      </c>
      <c r="D107" s="16"/>
      <c r="E107" s="12" t="str">
        <f>VLOOKUP(B107,'[1]ART 2 A)'!A:E,5,FALSE)</f>
        <v>Ex.</v>
      </c>
      <c r="F107" s="12"/>
      <c r="G107" s="12"/>
      <c r="H107" s="12"/>
      <c r="I107" s="12"/>
      <c r="J107" s="12"/>
      <c r="K107" s="12"/>
      <c r="L107" s="12"/>
      <c r="M107" s="12"/>
      <c r="N107" s="12"/>
      <c r="O107" s="12" t="s">
        <v>1562</v>
      </c>
      <c r="P107" s="12"/>
      <c r="Q107" s="12"/>
      <c r="R107" s="12"/>
      <c r="S107" s="12"/>
      <c r="T107" s="12"/>
      <c r="U107" s="12"/>
      <c r="V107" s="12"/>
      <c r="W107" s="12"/>
      <c r="X107" s="12" t="s">
        <v>1571</v>
      </c>
      <c r="Y107" s="12"/>
      <c r="Z107" s="12"/>
      <c r="AA107" s="12"/>
      <c r="AB107" s="12"/>
      <c r="AC107" s="12"/>
      <c r="AD107" s="17" t="s">
        <v>1562</v>
      </c>
    </row>
    <row r="108" spans="2:30" s="3" customFormat="1" ht="94.5" x14ac:dyDescent="0.25">
      <c r="B108" s="10" t="s">
        <v>217</v>
      </c>
      <c r="C108" s="25" t="s">
        <v>218</v>
      </c>
      <c r="D108" s="16"/>
      <c r="E108" s="12" t="str">
        <f>VLOOKUP(B108,'[1]ART 2 A)'!A:E,5,FALSE)</f>
        <v>Ex.</v>
      </c>
      <c r="F108" s="12"/>
      <c r="G108" s="12"/>
      <c r="H108" s="12"/>
      <c r="I108" s="12"/>
      <c r="J108" s="12"/>
      <c r="K108" s="12"/>
      <c r="L108" s="12"/>
      <c r="M108" s="12"/>
      <c r="N108" s="12"/>
      <c r="O108" s="12" t="s">
        <v>1562</v>
      </c>
      <c r="P108" s="12"/>
      <c r="Q108" s="12"/>
      <c r="R108" s="12"/>
      <c r="S108" s="12"/>
      <c r="T108" s="12"/>
      <c r="U108" s="12"/>
      <c r="V108" s="12"/>
      <c r="W108" s="12"/>
      <c r="X108" s="12" t="s">
        <v>1571</v>
      </c>
      <c r="Y108" s="12"/>
      <c r="Z108" s="12"/>
      <c r="AA108" s="12"/>
      <c r="AB108" s="12"/>
      <c r="AC108" s="12"/>
      <c r="AD108" s="17" t="s">
        <v>1562</v>
      </c>
    </row>
    <row r="109" spans="2:30" s="3" customFormat="1" ht="27" x14ac:dyDescent="0.25">
      <c r="B109" s="10" t="s">
        <v>219</v>
      </c>
      <c r="C109" s="25" t="s">
        <v>220</v>
      </c>
      <c r="D109" s="16"/>
      <c r="E109" s="12" t="str">
        <f>VLOOKUP(B109,'[1]ART 2 A)'!A:E,5,FALSE)</f>
        <v>Ex.</v>
      </c>
      <c r="F109" s="12"/>
      <c r="G109" s="12"/>
      <c r="H109" s="12"/>
      <c r="I109" s="12"/>
      <c r="J109" s="12"/>
      <c r="K109" s="12"/>
      <c r="L109" s="12"/>
      <c r="M109" s="12"/>
      <c r="N109" s="12"/>
      <c r="O109" s="12"/>
      <c r="P109" s="12"/>
      <c r="Q109" s="12"/>
      <c r="R109" s="12"/>
      <c r="S109" s="12"/>
      <c r="T109" s="12"/>
      <c r="U109" s="12"/>
      <c r="V109" s="12"/>
      <c r="W109" s="12"/>
      <c r="X109" s="12" t="s">
        <v>1571</v>
      </c>
      <c r="Y109" s="12"/>
      <c r="Z109" s="12"/>
      <c r="AA109" s="12"/>
      <c r="AB109" s="12"/>
      <c r="AC109" s="12"/>
      <c r="AD109" s="17"/>
    </row>
    <row r="110" spans="2:30" s="3" customFormat="1" ht="13.5" x14ac:dyDescent="0.25">
      <c r="B110" s="10" t="s">
        <v>221</v>
      </c>
      <c r="C110" s="25" t="s">
        <v>222</v>
      </c>
      <c r="D110" s="16"/>
      <c r="E110" s="12" t="str">
        <f>VLOOKUP(B110,'[1]ART 2 A)'!A:E,5,FALSE)</f>
        <v>Ex.</v>
      </c>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7"/>
    </row>
    <row r="111" spans="2:30" s="3" customFormat="1" ht="409.5" x14ac:dyDescent="0.25">
      <c r="B111" s="10" t="s">
        <v>223</v>
      </c>
      <c r="C111" s="25" t="s">
        <v>224</v>
      </c>
      <c r="D111" s="16"/>
      <c r="E111" s="12" t="str">
        <f>VLOOKUP(B111,'[1]ART 2 A)'!A:E,5,FALSE)</f>
        <v>Ex.Excepto: Cloroparafinas; ácidos grasos dimerizados; sal orgánica compuesta por silicatos de arcillas bentónicas o modificados con compuestos cuaternarios de amonio; mezcla de difenilmetan diisocianato y polimetilen polifenil isocianato; blanqueadores para harina a base de peróxido de benzoilo y fosfato de calcio; polisebacato de propilenglicol; preparaciones para impedir que resbalen las poleas; composiciones a base de materias vegetales para sellado y limpieza de radiadores; N-Alquiltrimetilendiamina, donde el radical alquilo sea de 8 a 22 átomos de carbono; mezcla a base de carbonato de sodio, hipofosfato de sodio, y cloruro de calcio; preparación en polvo, a base de silicatos y sulfatos, para trabajo de joyería; preparación antiincrustante o desincrustante del concreto; preparaciones a base de éster del ácido anísico halogenado disolventes y emulsificantes; preparación a base de 45% a 53% de cloruro de magnesio y cloruro de potasio, cloruro de bario, fluoruro de calcio y óxido de magnesio; mezcla que contenga principalmente sal sódica de la hexametilenimina y tiocloroformato de S-etilo; sales insolubles en agua de los ácidos nafténicos.</v>
      </c>
      <c r="F111" s="12"/>
      <c r="G111" s="12"/>
      <c r="H111" s="12"/>
      <c r="I111" s="12"/>
      <c r="J111" s="12"/>
      <c r="K111" s="12"/>
      <c r="L111" s="12"/>
      <c r="M111" s="12"/>
      <c r="N111" s="12"/>
      <c r="O111" s="12" t="s">
        <v>1583</v>
      </c>
      <c r="P111" s="12"/>
      <c r="Q111" s="12"/>
      <c r="R111" s="12"/>
      <c r="S111" s="12"/>
      <c r="T111" s="12"/>
      <c r="U111" s="12"/>
      <c r="V111" s="12"/>
      <c r="W111" s="12"/>
      <c r="X111" s="12" t="s">
        <v>1584</v>
      </c>
      <c r="Y111" s="12"/>
      <c r="Z111" s="12"/>
      <c r="AA111" s="12"/>
      <c r="AB111" s="12"/>
      <c r="AC111" s="12"/>
      <c r="AD111" s="17" t="s">
        <v>1585</v>
      </c>
    </row>
    <row r="112" spans="2:30" s="3" customFormat="1" ht="67.5" x14ac:dyDescent="0.25">
      <c r="B112" s="10" t="s">
        <v>225</v>
      </c>
      <c r="C112" s="25" t="s">
        <v>226</v>
      </c>
      <c r="D112" s="16"/>
      <c r="E112" s="12"/>
      <c r="F112" s="12"/>
      <c r="G112" s="12"/>
      <c r="H112" s="12"/>
      <c r="I112" s="12"/>
      <c r="J112" s="12"/>
      <c r="K112" s="12"/>
      <c r="L112" s="12"/>
      <c r="M112" s="12"/>
      <c r="N112" s="12"/>
      <c r="O112" s="12" t="s">
        <v>1562</v>
      </c>
      <c r="P112" s="12"/>
      <c r="Q112" s="12"/>
      <c r="R112" s="12"/>
      <c r="S112" s="12"/>
      <c r="T112" s="12"/>
      <c r="U112" s="12"/>
      <c r="V112" s="12"/>
      <c r="W112" s="12"/>
      <c r="X112" s="12" t="s">
        <v>1571</v>
      </c>
      <c r="Y112" s="12"/>
      <c r="Z112" s="12"/>
      <c r="AA112" s="12"/>
      <c r="AB112" s="12"/>
      <c r="AC112" s="12"/>
      <c r="AD112" s="17"/>
    </row>
    <row r="113" spans="2:30" s="3" customFormat="1" ht="27" x14ac:dyDescent="0.25">
      <c r="B113" s="10" t="s">
        <v>227</v>
      </c>
      <c r="C113" s="25" t="s">
        <v>228</v>
      </c>
      <c r="D113" s="16"/>
      <c r="E113" s="12" t="str">
        <f>VLOOKUP(B113,'[1]ART 2 A)'!A:E,5,FALSE)</f>
        <v>Ex.</v>
      </c>
      <c r="F113" s="12"/>
      <c r="G113" s="12"/>
      <c r="H113" s="12"/>
      <c r="I113" s="12" t="str">
        <f>VLOOKUP(B113,'[1]ART 5'!A:E,5,FALSE)</f>
        <v xml:space="preserve">5 </v>
      </c>
      <c r="J113" s="12"/>
      <c r="K113" s="12"/>
      <c r="L113" s="12"/>
      <c r="M113" s="12"/>
      <c r="N113" s="12"/>
      <c r="O113" s="12"/>
      <c r="P113" s="12"/>
      <c r="Q113" s="12"/>
      <c r="R113" s="12"/>
      <c r="S113" s="12"/>
      <c r="T113" s="12"/>
      <c r="U113" s="12"/>
      <c r="V113" s="12"/>
      <c r="W113" s="12"/>
      <c r="X113" s="12"/>
      <c r="Y113" s="12"/>
      <c r="Z113" s="12"/>
      <c r="AA113" s="12"/>
      <c r="AB113" s="12"/>
      <c r="AC113" s="12"/>
      <c r="AD113" s="17"/>
    </row>
    <row r="114" spans="2:30" s="3" customFormat="1" ht="27" x14ac:dyDescent="0.25">
      <c r="B114" s="10" t="s">
        <v>229</v>
      </c>
      <c r="C114" s="25" t="s">
        <v>230</v>
      </c>
      <c r="D114" s="16"/>
      <c r="E114" s="12"/>
      <c r="F114" s="12"/>
      <c r="G114" s="12"/>
      <c r="H114" s="12"/>
      <c r="I114" s="12"/>
      <c r="J114" s="12"/>
      <c r="K114" s="12"/>
      <c r="L114" s="12"/>
      <c r="M114" s="12"/>
      <c r="N114" s="12"/>
      <c r="O114" s="12" t="s">
        <v>1562</v>
      </c>
      <c r="P114" s="12"/>
      <c r="Q114" s="12"/>
      <c r="R114" s="12"/>
      <c r="S114" s="12"/>
      <c r="T114" s="12"/>
      <c r="U114" s="12"/>
      <c r="V114" s="12"/>
      <c r="W114" s="12"/>
      <c r="X114" s="12"/>
      <c r="Y114" s="12"/>
      <c r="Z114" s="12"/>
      <c r="AA114" s="12"/>
      <c r="AB114" s="12"/>
      <c r="AC114" s="12"/>
      <c r="AD114" s="17"/>
    </row>
    <row r="115" spans="2:30" s="3" customFormat="1" ht="148.5" x14ac:dyDescent="0.25">
      <c r="B115" s="10" t="s">
        <v>231</v>
      </c>
      <c r="C115" s="25" t="s">
        <v>232</v>
      </c>
      <c r="D115" s="16"/>
      <c r="E115" s="12"/>
      <c r="F115" s="12"/>
      <c r="G115" s="12"/>
      <c r="H115" s="12"/>
      <c r="I115" s="12"/>
      <c r="J115" s="12"/>
      <c r="K115" s="12"/>
      <c r="L115" s="12"/>
      <c r="M115" s="12"/>
      <c r="N115" s="12"/>
      <c r="O115" s="12" t="s">
        <v>1586</v>
      </c>
      <c r="P115" s="12"/>
      <c r="Q115" s="12"/>
      <c r="R115" s="12"/>
      <c r="S115" s="12"/>
      <c r="T115" s="12"/>
      <c r="U115" s="12"/>
      <c r="V115" s="12"/>
      <c r="W115" s="12"/>
      <c r="X115" s="12"/>
      <c r="Y115" s="12"/>
      <c r="Z115" s="12"/>
      <c r="AA115" s="12"/>
      <c r="AB115" s="12"/>
      <c r="AC115" s="12"/>
      <c r="AD115" s="17"/>
    </row>
    <row r="116" spans="2:30" s="3" customFormat="1" ht="13.5" x14ac:dyDescent="0.25">
      <c r="B116" s="10" t="s">
        <v>233</v>
      </c>
      <c r="C116" s="25" t="s">
        <v>234</v>
      </c>
      <c r="D116" s="16"/>
      <c r="E116" s="12" t="str">
        <f>VLOOKUP(B116,'[1]ART 2 A)'!A:E,5,FALSE)</f>
        <v>Ex.</v>
      </c>
      <c r="F116" s="12"/>
      <c r="G116" s="12"/>
      <c r="H116" s="12"/>
      <c r="I116" s="12"/>
      <c r="J116" s="12"/>
      <c r="K116" s="12"/>
      <c r="L116" s="12"/>
      <c r="M116" s="12"/>
      <c r="N116" s="12"/>
      <c r="O116" s="12"/>
      <c r="P116" s="12"/>
      <c r="Q116" s="12"/>
      <c r="R116" s="12"/>
      <c r="S116" s="12"/>
      <c r="T116" s="12"/>
      <c r="U116" s="12"/>
      <c r="V116" s="12"/>
      <c r="W116" s="12"/>
      <c r="X116" s="12" t="s">
        <v>1571</v>
      </c>
      <c r="Y116" s="12"/>
      <c r="Z116" s="12"/>
      <c r="AA116" s="12"/>
      <c r="AB116" s="12"/>
      <c r="AC116" s="12"/>
      <c r="AD116" s="17"/>
    </row>
    <row r="117" spans="2:30" s="3" customFormat="1" ht="13.5" x14ac:dyDescent="0.25">
      <c r="B117" s="10" t="s">
        <v>235</v>
      </c>
      <c r="C117" s="25" t="s">
        <v>53</v>
      </c>
      <c r="D117" s="16"/>
      <c r="E117" s="12" t="str">
        <f>VLOOKUP(B117,'[1]ART 2 A)'!A:E,5,FALSE)</f>
        <v>Ex.</v>
      </c>
      <c r="F117" s="12"/>
      <c r="G117" s="12"/>
      <c r="H117" s="12"/>
      <c r="I117" s="12"/>
      <c r="J117" s="12"/>
      <c r="K117" s="12"/>
      <c r="L117" s="12"/>
      <c r="M117" s="12"/>
      <c r="N117" s="12"/>
      <c r="O117" s="12"/>
      <c r="P117" s="12"/>
      <c r="Q117" s="12"/>
      <c r="R117" s="12"/>
      <c r="S117" s="12"/>
      <c r="T117" s="12"/>
      <c r="U117" s="12"/>
      <c r="V117" s="12"/>
      <c r="W117" s="12"/>
      <c r="X117" s="12" t="s">
        <v>1571</v>
      </c>
      <c r="Y117" s="12"/>
      <c r="Z117" s="12"/>
      <c r="AA117" s="12"/>
      <c r="AB117" s="12"/>
      <c r="AC117" s="12"/>
      <c r="AD117" s="17"/>
    </row>
    <row r="118" spans="2:30" s="3" customFormat="1" ht="27" x14ac:dyDescent="0.25">
      <c r="B118" s="10" t="s">
        <v>236</v>
      </c>
      <c r="C118" s="25" t="s">
        <v>237</v>
      </c>
      <c r="D118" s="16"/>
      <c r="E118" s="12" t="str">
        <f>VLOOKUP(B118,'[1]ART 2 A)'!A:E,5,FALSE)</f>
        <v>Ex.</v>
      </c>
      <c r="F118" s="12"/>
      <c r="G118" s="12"/>
      <c r="H118" s="12"/>
      <c r="I118" s="12"/>
      <c r="J118" s="12"/>
      <c r="K118" s="12"/>
      <c r="L118" s="12"/>
      <c r="M118" s="12"/>
      <c r="N118" s="12"/>
      <c r="O118" s="12"/>
      <c r="P118" s="12"/>
      <c r="Q118" s="12"/>
      <c r="R118" s="12"/>
      <c r="S118" s="12"/>
      <c r="T118" s="12"/>
      <c r="U118" s="12"/>
      <c r="V118" s="12"/>
      <c r="W118" s="12"/>
      <c r="X118" s="12" t="s">
        <v>1571</v>
      </c>
      <c r="Y118" s="12"/>
      <c r="Z118" s="12"/>
      <c r="AA118" s="12"/>
      <c r="AB118" s="12"/>
      <c r="AC118" s="12"/>
      <c r="AD118" s="17"/>
    </row>
    <row r="119" spans="2:30" s="3" customFormat="1" ht="13.5" x14ac:dyDescent="0.25">
      <c r="B119" s="10" t="s">
        <v>238</v>
      </c>
      <c r="C119" s="25" t="s">
        <v>53</v>
      </c>
      <c r="D119" s="16" t="str">
        <f>VLOOKUP(B119,'[1]ART 1'!A:E,5,FALSE)</f>
        <v>Ex.</v>
      </c>
      <c r="E119" s="12" t="str">
        <f>VLOOKUP(B119,'[1]ART 2 A)'!A:E,5,FALSE)</f>
        <v>Ex.</v>
      </c>
      <c r="F119" s="12"/>
      <c r="G119" s="12"/>
      <c r="H119" s="12"/>
      <c r="I119" s="12"/>
      <c r="J119" s="12"/>
      <c r="K119" s="12"/>
      <c r="L119" s="12"/>
      <c r="M119" s="12"/>
      <c r="N119" s="12"/>
      <c r="O119" s="12"/>
      <c r="P119" s="12"/>
      <c r="Q119" s="12"/>
      <c r="R119" s="12"/>
      <c r="S119" s="12"/>
      <c r="T119" s="12"/>
      <c r="U119" s="12"/>
      <c r="V119" s="12"/>
      <c r="W119" s="12"/>
      <c r="X119" s="12" t="s">
        <v>1562</v>
      </c>
      <c r="Y119" s="12"/>
      <c r="Z119" s="12"/>
      <c r="AA119" s="12"/>
      <c r="AB119" s="12"/>
      <c r="AC119" s="12"/>
      <c r="AD119" s="17"/>
    </row>
    <row r="120" spans="2:30" s="3" customFormat="1" ht="13.5" x14ac:dyDescent="0.25">
      <c r="B120" s="10" t="s">
        <v>239</v>
      </c>
      <c r="C120" s="25" t="s">
        <v>240</v>
      </c>
      <c r="D120" s="16"/>
      <c r="E120" s="12"/>
      <c r="F120" s="12"/>
      <c r="G120" s="12"/>
      <c r="H120" s="12"/>
      <c r="I120" s="12"/>
      <c r="J120" s="12"/>
      <c r="K120" s="12"/>
      <c r="L120" s="12"/>
      <c r="M120" s="12"/>
      <c r="N120" s="12"/>
      <c r="O120" s="12"/>
      <c r="P120" s="12"/>
      <c r="Q120" s="12"/>
      <c r="R120" s="12"/>
      <c r="S120" s="12"/>
      <c r="T120" s="12"/>
      <c r="U120" s="12"/>
      <c r="V120" s="12"/>
      <c r="W120" s="12"/>
      <c r="X120" s="12" t="s">
        <v>1571</v>
      </c>
      <c r="Y120" s="12"/>
      <c r="Z120" s="12"/>
      <c r="AA120" s="12"/>
      <c r="AB120" s="12"/>
      <c r="AC120" s="12"/>
      <c r="AD120" s="17"/>
    </row>
    <row r="121" spans="2:30" s="3" customFormat="1" ht="13.5" x14ac:dyDescent="0.25">
      <c r="B121" s="10" t="s">
        <v>241</v>
      </c>
      <c r="C121" s="25" t="s">
        <v>242</v>
      </c>
      <c r="D121" s="16"/>
      <c r="E121" s="12" t="str">
        <f>VLOOKUP(B121,'[1]ART 2 A)'!A:E,5,FALSE)</f>
        <v>Ex.</v>
      </c>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7"/>
    </row>
    <row r="122" spans="2:30" s="3" customFormat="1" ht="27" x14ac:dyDescent="0.25">
      <c r="B122" s="10" t="s">
        <v>243</v>
      </c>
      <c r="C122" s="25" t="s">
        <v>244</v>
      </c>
      <c r="D122" s="16"/>
      <c r="E122" s="12" t="str">
        <f>VLOOKUP(B122,'[1]ART 2 A)'!A:E,5,FALSE)</f>
        <v>Ex.</v>
      </c>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7"/>
    </row>
    <row r="123" spans="2:30" s="3" customFormat="1" ht="27" x14ac:dyDescent="0.25">
      <c r="B123" s="10" t="s">
        <v>245</v>
      </c>
      <c r="C123" s="25" t="s">
        <v>246</v>
      </c>
      <c r="D123" s="16"/>
      <c r="E123" s="12" t="str">
        <f>VLOOKUP(B123,'[1]ART 2 A)'!A:E,5,FALSE)</f>
        <v>Ex.</v>
      </c>
      <c r="F123" s="12"/>
      <c r="G123" s="12"/>
      <c r="H123" s="12"/>
      <c r="I123" s="12"/>
      <c r="J123" s="12"/>
      <c r="K123" s="12"/>
      <c r="L123" s="12"/>
      <c r="M123" s="12"/>
      <c r="N123" s="12"/>
      <c r="O123" s="12"/>
      <c r="P123" s="12"/>
      <c r="Q123" s="12"/>
      <c r="R123" s="12"/>
      <c r="S123" s="12"/>
      <c r="T123" s="12"/>
      <c r="U123" s="12"/>
      <c r="V123" s="12"/>
      <c r="W123" s="12"/>
      <c r="X123" s="12" t="s">
        <v>1571</v>
      </c>
      <c r="Y123" s="12"/>
      <c r="Z123" s="12"/>
      <c r="AA123" s="12"/>
      <c r="AB123" s="12"/>
      <c r="AC123" s="12"/>
      <c r="AD123" s="17"/>
    </row>
    <row r="124" spans="2:30" s="3" customFormat="1" ht="13.5" x14ac:dyDescent="0.25">
      <c r="B124" s="10" t="s">
        <v>247</v>
      </c>
      <c r="C124" s="25" t="s">
        <v>248</v>
      </c>
      <c r="D124" s="16"/>
      <c r="E124" s="12" t="str">
        <f>VLOOKUP(B124,'[1]ART 2 A)'!A:E,5,FALSE)</f>
        <v>Ex.</v>
      </c>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7"/>
    </row>
    <row r="125" spans="2:30" s="3" customFormat="1" ht="13.5" x14ac:dyDescent="0.25">
      <c r="B125" s="10" t="s">
        <v>249</v>
      </c>
      <c r="C125" s="25" t="s">
        <v>250</v>
      </c>
      <c r="D125" s="16"/>
      <c r="E125" s="12" t="str">
        <f>VLOOKUP(B125,'[1]ART 2 A)'!A:E,5,FALSE)</f>
        <v>Ex.</v>
      </c>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7"/>
    </row>
    <row r="126" spans="2:30" s="3" customFormat="1" ht="67.5" x14ac:dyDescent="0.25">
      <c r="B126" s="10" t="s">
        <v>251</v>
      </c>
      <c r="C126" s="25" t="s">
        <v>252</v>
      </c>
      <c r="D126" s="16"/>
      <c r="E126" s="12" t="str">
        <f>VLOOKUP(B126,'[1]ART 2 A)'!A:E,5,FALSE)</f>
        <v>Ex.</v>
      </c>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7"/>
    </row>
    <row r="127" spans="2:30" s="3" customFormat="1" ht="94.5" x14ac:dyDescent="0.25">
      <c r="B127" s="10" t="s">
        <v>253</v>
      </c>
      <c r="C127" s="25" t="s">
        <v>254</v>
      </c>
      <c r="D127" s="16"/>
      <c r="E127" s="12" t="str">
        <f>VLOOKUP(B127,'[1]ART 2 A)'!A:E,5,FALSE)</f>
        <v>Ex.</v>
      </c>
      <c r="F127" s="12"/>
      <c r="G127" s="12"/>
      <c r="H127" s="12" t="str">
        <f>VLOOKUP(B127,'[1]ART IV'!A:E,5,FALSE)</f>
        <v>Ex. Únicamente: Copolímeros elastoméricos termoplásticos.</v>
      </c>
      <c r="I127" s="12"/>
      <c r="J127" s="12"/>
      <c r="K127" s="12"/>
      <c r="L127" s="12"/>
      <c r="M127" s="12"/>
      <c r="N127" s="12"/>
      <c r="O127" s="12"/>
      <c r="P127" s="12"/>
      <c r="Q127" s="12"/>
      <c r="R127" s="12"/>
      <c r="S127" s="12"/>
      <c r="T127" s="12"/>
      <c r="U127" s="12"/>
      <c r="V127" s="12"/>
      <c r="W127" s="12"/>
      <c r="X127" s="12"/>
      <c r="Y127" s="12"/>
      <c r="Z127" s="12"/>
      <c r="AA127" s="12"/>
      <c r="AB127" s="12"/>
      <c r="AC127" s="12"/>
      <c r="AD127" s="17"/>
    </row>
    <row r="128" spans="2:30" s="3" customFormat="1" ht="175.5" x14ac:dyDescent="0.25">
      <c r="B128" s="10" t="s">
        <v>255</v>
      </c>
      <c r="C128" s="25" t="s">
        <v>256</v>
      </c>
      <c r="D128" s="16" t="str">
        <f>VLOOKUP(B128,'[1]ART 1'!A:E,5,FALSE)</f>
        <v>Ex.</v>
      </c>
      <c r="E128" s="12" t="str">
        <f>VLOOKUP(B128,'[1]ART 2 A)'!A:E,5,FALSE)</f>
        <v>Ex.</v>
      </c>
      <c r="F128" s="12"/>
      <c r="G128" s="12"/>
      <c r="H128" s="12"/>
      <c r="I128" s="12"/>
      <c r="J128" s="12"/>
      <c r="K128" s="12"/>
      <c r="L128" s="12"/>
      <c r="M128" s="12"/>
      <c r="N128" s="12"/>
      <c r="O128" s="12"/>
      <c r="P128" s="12"/>
      <c r="Q128" s="12"/>
      <c r="R128" s="12"/>
      <c r="S128" s="12"/>
      <c r="T128" s="12"/>
      <c r="U128" s="12"/>
      <c r="V128" s="12"/>
      <c r="W128" s="12"/>
      <c r="X128" s="12" t="s">
        <v>1571</v>
      </c>
      <c r="Y128" s="12"/>
      <c r="Z128" s="12"/>
      <c r="AA128" s="12"/>
      <c r="AB128" s="12"/>
      <c r="AC128" s="12"/>
      <c r="AD128" s="17"/>
    </row>
    <row r="129" spans="2:30" s="3" customFormat="1" ht="13.5" x14ac:dyDescent="0.25">
      <c r="B129" s="10" t="s">
        <v>257</v>
      </c>
      <c r="C129" s="25" t="s">
        <v>53</v>
      </c>
      <c r="D129" s="16"/>
      <c r="E129" s="12" t="str">
        <f>VLOOKUP(B129,'[1]ART 2 A)'!A:E,5,FALSE)</f>
        <v>Ex.</v>
      </c>
      <c r="F129" s="12"/>
      <c r="G129" s="12"/>
      <c r="H129" s="12"/>
      <c r="I129" s="12"/>
      <c r="J129" s="12"/>
      <c r="K129" s="12"/>
      <c r="L129" s="12"/>
      <c r="M129" s="12"/>
      <c r="N129" s="12"/>
      <c r="O129" s="12"/>
      <c r="P129" s="12"/>
      <c r="Q129" s="12"/>
      <c r="R129" s="12"/>
      <c r="S129" s="12"/>
      <c r="T129" s="12"/>
      <c r="U129" s="12"/>
      <c r="V129" s="12"/>
      <c r="W129" s="12"/>
      <c r="X129" s="12" t="s">
        <v>1571</v>
      </c>
      <c r="Y129" s="12"/>
      <c r="Z129" s="12"/>
      <c r="AA129" s="12"/>
      <c r="AB129" s="12"/>
      <c r="AC129" s="12"/>
      <c r="AD129" s="17"/>
    </row>
    <row r="130" spans="2:30" s="3" customFormat="1" ht="54" x14ac:dyDescent="0.25">
      <c r="B130" s="10" t="s">
        <v>258</v>
      </c>
      <c r="C130" s="25" t="s">
        <v>259</v>
      </c>
      <c r="D130" s="16"/>
      <c r="E130" s="12"/>
      <c r="F130" s="12"/>
      <c r="G130" s="12"/>
      <c r="H130" s="12"/>
      <c r="I130" s="12"/>
      <c r="J130" s="12"/>
      <c r="K130" s="12"/>
      <c r="L130" s="12"/>
      <c r="M130" s="12"/>
      <c r="N130" s="12"/>
      <c r="O130" s="12"/>
      <c r="P130" s="12"/>
      <c r="Q130" s="12"/>
      <c r="R130" s="12"/>
      <c r="S130" s="12"/>
      <c r="T130" s="12"/>
      <c r="U130" s="12"/>
      <c r="V130" s="12"/>
      <c r="W130" s="12"/>
      <c r="X130" s="12" t="s">
        <v>1562</v>
      </c>
      <c r="Y130" s="12"/>
      <c r="Z130" s="12"/>
      <c r="AA130" s="12"/>
      <c r="AB130" s="12"/>
      <c r="AC130" s="12"/>
      <c r="AD130" s="17"/>
    </row>
    <row r="131" spans="2:30" s="3" customFormat="1" ht="13.5" x14ac:dyDescent="0.25">
      <c r="B131" s="10" t="s">
        <v>260</v>
      </c>
      <c r="C131" s="25" t="s">
        <v>261</v>
      </c>
      <c r="D131" s="16"/>
      <c r="E131" s="12"/>
      <c r="F131" s="12"/>
      <c r="G131" s="12"/>
      <c r="H131" s="12"/>
      <c r="I131" s="12"/>
      <c r="J131" s="12"/>
      <c r="K131" s="12"/>
      <c r="L131" s="12"/>
      <c r="M131" s="12"/>
      <c r="N131" s="12"/>
      <c r="O131" s="12"/>
      <c r="P131" s="12"/>
      <c r="Q131" s="12"/>
      <c r="R131" s="12"/>
      <c r="S131" s="12"/>
      <c r="T131" s="12"/>
      <c r="U131" s="12"/>
      <c r="V131" s="12"/>
      <c r="W131" s="12"/>
      <c r="X131" s="12" t="s">
        <v>1571</v>
      </c>
      <c r="Y131" s="12"/>
      <c r="Z131" s="12"/>
      <c r="AA131" s="12"/>
      <c r="AB131" s="12"/>
      <c r="AC131" s="12"/>
      <c r="AD131" s="17"/>
    </row>
    <row r="132" spans="2:30" s="3" customFormat="1" ht="13.5" x14ac:dyDescent="0.25">
      <c r="B132" s="10" t="s">
        <v>262</v>
      </c>
      <c r="C132" s="25" t="s">
        <v>263</v>
      </c>
      <c r="D132" s="16"/>
      <c r="E132" s="12" t="str">
        <f>VLOOKUP(B132,'[1]ART 2 A)'!A:E,5,FALSE)</f>
        <v>Ex.</v>
      </c>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7"/>
    </row>
    <row r="133" spans="2:30" s="3" customFormat="1" ht="13.5" x14ac:dyDescent="0.25">
      <c r="B133" s="10" t="s">
        <v>264</v>
      </c>
      <c r="C133" s="25" t="s">
        <v>53</v>
      </c>
      <c r="D133" s="16"/>
      <c r="E133" s="12"/>
      <c r="F133" s="12"/>
      <c r="G133" s="12"/>
      <c r="H133" s="12"/>
      <c r="I133" s="12"/>
      <c r="J133" s="12"/>
      <c r="K133" s="12"/>
      <c r="L133" s="12"/>
      <c r="M133" s="12"/>
      <c r="N133" s="12"/>
      <c r="O133" s="12"/>
      <c r="P133" s="12"/>
      <c r="Q133" s="12"/>
      <c r="R133" s="12"/>
      <c r="S133" s="12"/>
      <c r="T133" s="12"/>
      <c r="U133" s="12"/>
      <c r="V133" s="12"/>
      <c r="W133" s="12"/>
      <c r="X133" s="12" t="s">
        <v>1571</v>
      </c>
      <c r="Y133" s="12"/>
      <c r="Z133" s="12"/>
      <c r="AA133" s="12"/>
      <c r="AB133" s="12"/>
      <c r="AC133" s="12"/>
      <c r="AD133" s="17"/>
    </row>
    <row r="134" spans="2:30" s="3" customFormat="1" ht="54" x14ac:dyDescent="0.25">
      <c r="B134" s="10" t="s">
        <v>265</v>
      </c>
      <c r="C134" s="25" t="s">
        <v>266</v>
      </c>
      <c r="D134" s="16"/>
      <c r="E134" s="12" t="str">
        <f>VLOOKUP(B134,'[1]ART 2 A)'!A:E,5,FALSE)</f>
        <v>Ex.Únicamente: Polivinilpirrolidona.</v>
      </c>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7"/>
    </row>
    <row r="135" spans="2:30" s="3" customFormat="1" ht="27" x14ac:dyDescent="0.25">
      <c r="B135" s="10" t="s">
        <v>267</v>
      </c>
      <c r="C135" s="25" t="s">
        <v>268</v>
      </c>
      <c r="D135" s="16"/>
      <c r="E135" s="12"/>
      <c r="F135" s="12"/>
      <c r="G135" s="12"/>
      <c r="H135" s="12"/>
      <c r="I135" s="12"/>
      <c r="J135" s="12"/>
      <c r="K135" s="12"/>
      <c r="L135" s="12"/>
      <c r="M135" s="12"/>
      <c r="N135" s="12"/>
      <c r="O135" s="12"/>
      <c r="P135" s="12"/>
      <c r="Q135" s="12"/>
      <c r="R135" s="12"/>
      <c r="S135" s="12"/>
      <c r="T135" s="12"/>
      <c r="U135" s="12"/>
      <c r="V135" s="12"/>
      <c r="W135" s="12"/>
      <c r="X135" s="12" t="s">
        <v>1570</v>
      </c>
      <c r="Y135" s="12"/>
      <c r="Z135" s="12"/>
      <c r="AA135" s="12"/>
      <c r="AB135" s="12"/>
      <c r="AC135" s="12"/>
      <c r="AD135" s="17"/>
    </row>
    <row r="136" spans="2:30" s="3" customFormat="1" ht="54" x14ac:dyDescent="0.25">
      <c r="B136" s="10" t="s">
        <v>269</v>
      </c>
      <c r="C136" s="25" t="s">
        <v>270</v>
      </c>
      <c r="D136" s="16"/>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7" t="s">
        <v>1562</v>
      </c>
    </row>
    <row r="137" spans="2:30" s="3" customFormat="1" ht="27" x14ac:dyDescent="0.25">
      <c r="B137" s="10" t="s">
        <v>271</v>
      </c>
      <c r="C137" s="25" t="s">
        <v>272</v>
      </c>
      <c r="D137" s="16" t="str">
        <f>VLOOKUP(B137,'[1]ART 1'!A:E,5,FALSE)</f>
        <v>Ex.</v>
      </c>
      <c r="E137" s="12" t="str">
        <f>VLOOKUP(B137,'[1]ART 2 A)'!A:E,5,FALSE)</f>
        <v>Ex.</v>
      </c>
      <c r="F137" s="12"/>
      <c r="G137" s="12"/>
      <c r="H137" s="12"/>
      <c r="I137" s="12"/>
      <c r="J137" s="12"/>
      <c r="K137" s="12"/>
      <c r="L137" s="12"/>
      <c r="M137" s="12"/>
      <c r="N137" s="12"/>
      <c r="O137" s="12"/>
      <c r="P137" s="12"/>
      <c r="Q137" s="12"/>
      <c r="R137" s="12" t="s">
        <v>1570</v>
      </c>
      <c r="S137" s="12"/>
      <c r="T137" s="12"/>
      <c r="U137" s="12"/>
      <c r="V137" s="12"/>
      <c r="W137" s="12"/>
      <c r="X137" s="12"/>
      <c r="Y137" s="12"/>
      <c r="Z137" s="12"/>
      <c r="AA137" s="12"/>
      <c r="AB137" s="12"/>
      <c r="AC137" s="12"/>
      <c r="AD137" s="17"/>
    </row>
    <row r="138" spans="2:30" s="3" customFormat="1" ht="13.5" x14ac:dyDescent="0.25">
      <c r="B138" s="10" t="s">
        <v>273</v>
      </c>
      <c r="C138" s="25" t="s">
        <v>53</v>
      </c>
      <c r="D138" s="16"/>
      <c r="E138" s="12" t="str">
        <f>VLOOKUP(B138,'[1]ART 2 A)'!A:E,5,FALSE)</f>
        <v>Ex.</v>
      </c>
      <c r="F138" s="12"/>
      <c r="G138" s="12"/>
      <c r="H138" s="12"/>
      <c r="I138" s="12"/>
      <c r="J138" s="12"/>
      <c r="K138" s="12"/>
      <c r="L138" s="12"/>
      <c r="M138" s="12"/>
      <c r="N138" s="12"/>
      <c r="O138" s="12"/>
      <c r="P138" s="12"/>
      <c r="Q138" s="12"/>
      <c r="R138" s="12"/>
      <c r="S138" s="12"/>
      <c r="T138" s="12"/>
      <c r="U138" s="12"/>
      <c r="V138" s="12"/>
      <c r="W138" s="12"/>
      <c r="X138" s="12" t="s">
        <v>1571</v>
      </c>
      <c r="Y138" s="12"/>
      <c r="Z138" s="12"/>
      <c r="AA138" s="12"/>
      <c r="AB138" s="12"/>
      <c r="AC138" s="12"/>
      <c r="AD138" s="17" t="s">
        <v>1562</v>
      </c>
    </row>
    <row r="139" spans="2:30" s="3" customFormat="1" ht="13.5" x14ac:dyDescent="0.25">
      <c r="B139" s="10" t="s">
        <v>274</v>
      </c>
      <c r="C139" s="25" t="s">
        <v>275</v>
      </c>
      <c r="D139" s="16"/>
      <c r="E139" s="12" t="str">
        <f>VLOOKUP(B139,'[1]ART 2 A)'!A:E,5,FALSE)</f>
        <v>Ex.</v>
      </c>
      <c r="F139" s="12"/>
      <c r="G139" s="12"/>
      <c r="H139" s="12"/>
      <c r="I139" s="12"/>
      <c r="J139" s="12"/>
      <c r="K139" s="12"/>
      <c r="L139" s="12"/>
      <c r="M139" s="12"/>
      <c r="N139" s="12"/>
      <c r="O139" s="12"/>
      <c r="P139" s="12"/>
      <c r="Q139" s="12"/>
      <c r="R139" s="12"/>
      <c r="S139" s="12"/>
      <c r="T139" s="12"/>
      <c r="U139" s="12"/>
      <c r="V139" s="12"/>
      <c r="W139" s="12"/>
      <c r="X139" s="12" t="s">
        <v>1571</v>
      </c>
      <c r="Y139" s="12"/>
      <c r="Z139" s="12"/>
      <c r="AA139" s="12"/>
      <c r="AB139" s="12"/>
      <c r="AC139" s="12"/>
      <c r="AD139" s="17"/>
    </row>
    <row r="140" spans="2:30" s="3" customFormat="1" ht="13.5" x14ac:dyDescent="0.25">
      <c r="B140" s="10" t="s">
        <v>276</v>
      </c>
      <c r="C140" s="25" t="s">
        <v>277</v>
      </c>
      <c r="D140" s="16"/>
      <c r="E140" s="12" t="str">
        <f>VLOOKUP(B140,'[1]ART 2 A)'!A:E,5,FALSE)</f>
        <v>Ex.</v>
      </c>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7"/>
    </row>
    <row r="141" spans="2:30" s="3" customFormat="1" ht="27" x14ac:dyDescent="0.25">
      <c r="B141" s="10" t="s">
        <v>278</v>
      </c>
      <c r="C141" s="25" t="s">
        <v>279</v>
      </c>
      <c r="D141" s="16"/>
      <c r="E141" s="12"/>
      <c r="F141" s="12"/>
      <c r="G141" s="12"/>
      <c r="H141" s="12"/>
      <c r="I141" s="12"/>
      <c r="J141" s="12"/>
      <c r="K141" s="12"/>
      <c r="L141" s="12"/>
      <c r="M141" s="12"/>
      <c r="N141" s="12"/>
      <c r="O141" s="12"/>
      <c r="P141" s="12"/>
      <c r="Q141" s="12"/>
      <c r="R141" s="12"/>
      <c r="S141" s="12"/>
      <c r="T141" s="12"/>
      <c r="U141" s="12"/>
      <c r="V141" s="12"/>
      <c r="W141" s="12"/>
      <c r="X141" s="12" t="s">
        <v>1570</v>
      </c>
      <c r="Y141" s="12"/>
      <c r="Z141" s="12"/>
      <c r="AA141" s="12"/>
      <c r="AB141" s="12"/>
      <c r="AC141" s="12"/>
      <c r="AD141" s="17"/>
    </row>
    <row r="142" spans="2:30" s="3" customFormat="1" ht="13.5" x14ac:dyDescent="0.25">
      <c r="B142" s="10" t="s">
        <v>280</v>
      </c>
      <c r="C142" s="25" t="s">
        <v>53</v>
      </c>
      <c r="D142" s="16"/>
      <c r="E142" s="12" t="str">
        <f>VLOOKUP(B142,'[1]ART 2 A)'!A:E,5,FALSE)</f>
        <v>Ex.</v>
      </c>
      <c r="F142" s="12"/>
      <c r="G142" s="12"/>
      <c r="H142" s="12"/>
      <c r="I142" s="12"/>
      <c r="J142" s="12"/>
      <c r="K142" s="12"/>
      <c r="L142" s="12"/>
      <c r="M142" s="12"/>
      <c r="N142" s="12"/>
      <c r="O142" s="12"/>
      <c r="P142" s="12"/>
      <c r="Q142" s="12"/>
      <c r="R142" s="12"/>
      <c r="S142" s="12"/>
      <c r="T142" s="12"/>
      <c r="U142" s="12"/>
      <c r="V142" s="12"/>
      <c r="W142" s="12"/>
      <c r="X142" s="12" t="s">
        <v>1571</v>
      </c>
      <c r="Y142" s="12"/>
      <c r="Z142" s="12"/>
      <c r="AA142" s="12"/>
      <c r="AB142" s="12"/>
      <c r="AC142" s="12"/>
      <c r="AD142" s="17"/>
    </row>
    <row r="143" spans="2:30" s="3" customFormat="1" ht="27" x14ac:dyDescent="0.25">
      <c r="B143" s="10" t="s">
        <v>281</v>
      </c>
      <c r="C143" s="25" t="s">
        <v>282</v>
      </c>
      <c r="D143" s="16" t="str">
        <f>VLOOKUP(B143,'[1]ART 1'!A:E,5,FALSE)</f>
        <v>Ex.</v>
      </c>
      <c r="E143" s="12" t="str">
        <f>VLOOKUP(B143,'[1]ART 2 A)'!A:E,5,FALSE)</f>
        <v>Ex.</v>
      </c>
      <c r="F143" s="12"/>
      <c r="G143" s="12" t="str">
        <f>VLOOKUP(B143,'[1]ART 3'!A:E,5,FALSE)</f>
        <v xml:space="preserve">Ex. </v>
      </c>
      <c r="H143" s="12"/>
      <c r="I143" s="12"/>
      <c r="J143" s="12"/>
      <c r="K143" s="12"/>
      <c r="L143" s="12"/>
      <c r="M143" s="12"/>
      <c r="N143" s="12"/>
      <c r="O143" s="12"/>
      <c r="P143" s="12"/>
      <c r="Q143" s="12"/>
      <c r="R143" s="12"/>
      <c r="S143" s="12"/>
      <c r="T143" s="12"/>
      <c r="U143" s="12"/>
      <c r="V143" s="12"/>
      <c r="W143" s="12"/>
      <c r="X143" s="12" t="s">
        <v>1571</v>
      </c>
      <c r="Y143" s="12"/>
      <c r="Z143" s="12"/>
      <c r="AA143" s="12"/>
      <c r="AB143" s="12"/>
      <c r="AC143" s="12"/>
      <c r="AD143" s="17"/>
    </row>
    <row r="144" spans="2:30" s="3" customFormat="1" ht="40.5" x14ac:dyDescent="0.25">
      <c r="B144" s="10" t="s">
        <v>283</v>
      </c>
      <c r="C144" s="25" t="s">
        <v>284</v>
      </c>
      <c r="D144" s="16" t="str">
        <f>VLOOKUP(B144,'[1]ART 1'!A:E,5,FALSE)</f>
        <v>Ex.Excepto: Resinas epóxidas.</v>
      </c>
      <c r="E144" s="12" t="str">
        <f>VLOOKUP(B144,'[1]ART 2 A)'!A:E,5,FALSE)</f>
        <v>Ex.</v>
      </c>
      <c r="F144" s="12"/>
      <c r="G144" s="12" t="str">
        <f>VLOOKUP(B144,'[1]ART 3'!A:E,5,FALSE)</f>
        <v>Ex. Excepto: Resinas epóxidas.</v>
      </c>
      <c r="H144" s="12" t="str">
        <f>VLOOKUP(B144,'[1]ART IV'!A:E,5,FALSE)</f>
        <v xml:space="preserve">Ex. Excepto: Resinas epóxidas. </v>
      </c>
      <c r="I144" s="12"/>
      <c r="J144" s="12"/>
      <c r="K144" s="12" t="str">
        <f>VLOOKUP(B144,'[1]ART 7'!A:E,5,FALSE)</f>
        <v>5 Excepto: Resinas epóxidas.</v>
      </c>
      <c r="L144" s="12"/>
      <c r="M144" s="12"/>
      <c r="N144" s="12"/>
      <c r="O144" s="12" t="s">
        <v>1587</v>
      </c>
      <c r="P144" s="12"/>
      <c r="Q144" s="12"/>
      <c r="R144" s="12"/>
      <c r="S144" s="12"/>
      <c r="T144" s="12"/>
      <c r="U144" s="12"/>
      <c r="V144" s="12"/>
      <c r="W144" s="12"/>
      <c r="X144" s="12" t="s">
        <v>1571</v>
      </c>
      <c r="Y144" s="12"/>
      <c r="Z144" s="12"/>
      <c r="AA144" s="12"/>
      <c r="AB144" s="12"/>
      <c r="AC144" s="12"/>
      <c r="AD144" s="17"/>
    </row>
    <row r="145" spans="2:30" s="3" customFormat="1" ht="108" x14ac:dyDescent="0.25">
      <c r="B145" s="10" t="s">
        <v>285</v>
      </c>
      <c r="C145" s="25" t="s">
        <v>286</v>
      </c>
      <c r="D145" s="16" t="str">
        <f>VLOOKUP(B145,'[1]ART 1'!A:E,5,FALSE)</f>
        <v>Ex.</v>
      </c>
      <c r="E145" s="12" t="str">
        <f>VLOOKUP(B145,'[1]ART 2 A)'!A:E,5,FALSE)</f>
        <v>Ex.</v>
      </c>
      <c r="F145" s="12"/>
      <c r="G145" s="12"/>
      <c r="H145" s="12"/>
      <c r="I145" s="12"/>
      <c r="J145" s="12"/>
      <c r="K145" s="12"/>
      <c r="L145" s="12"/>
      <c r="M145" s="12"/>
      <c r="N145" s="12"/>
      <c r="O145" s="12"/>
      <c r="P145" s="12"/>
      <c r="Q145" s="12"/>
      <c r="R145" s="12"/>
      <c r="S145" s="12"/>
      <c r="T145" s="12"/>
      <c r="U145" s="12"/>
      <c r="V145" s="12"/>
      <c r="W145" s="12"/>
      <c r="X145" s="12" t="s">
        <v>1588</v>
      </c>
      <c r="Y145" s="12"/>
      <c r="Z145" s="12"/>
      <c r="AA145" s="12"/>
      <c r="AB145" s="12"/>
      <c r="AC145" s="12"/>
      <c r="AD145" s="17"/>
    </row>
    <row r="146" spans="2:30" s="3" customFormat="1" ht="27" x14ac:dyDescent="0.25">
      <c r="B146" s="10" t="s">
        <v>287</v>
      </c>
      <c r="C146" s="25" t="s">
        <v>288</v>
      </c>
      <c r="D146" s="16"/>
      <c r="E146" s="12" t="str">
        <f>VLOOKUP(B146,'[1]ART 2 A)'!A:E,5,FALSE)</f>
        <v>Ex.</v>
      </c>
      <c r="F146" s="12"/>
      <c r="G146" s="12"/>
      <c r="H146" s="12"/>
      <c r="I146" s="12"/>
      <c r="J146" s="12"/>
      <c r="K146" s="12"/>
      <c r="L146" s="12"/>
      <c r="M146" s="12"/>
      <c r="N146" s="12"/>
      <c r="O146" s="12"/>
      <c r="P146" s="30"/>
      <c r="Q146" s="12"/>
      <c r="R146" s="12"/>
      <c r="S146" s="12"/>
      <c r="T146" s="12"/>
      <c r="U146" s="12"/>
      <c r="V146" s="12"/>
      <c r="W146" s="12"/>
      <c r="X146" s="12" t="s">
        <v>1571</v>
      </c>
      <c r="Y146" s="12"/>
      <c r="Z146" s="12"/>
      <c r="AA146" s="12"/>
      <c r="AB146" s="12"/>
      <c r="AC146" s="12"/>
      <c r="AD146" s="17"/>
    </row>
    <row r="147" spans="2:30" s="3" customFormat="1" ht="135" x14ac:dyDescent="0.25">
      <c r="B147" s="10" t="s">
        <v>289</v>
      </c>
      <c r="C147" s="25" t="s">
        <v>53</v>
      </c>
      <c r="D147" s="16"/>
      <c r="E147" s="12" t="str">
        <f>VLOOKUP(B147,'[1]ART 2 A)'!A:E,5,FALSE)</f>
        <v>Ex.</v>
      </c>
      <c r="F147" s="12"/>
      <c r="G147" s="12"/>
      <c r="H147" s="12"/>
      <c r="I147" s="12"/>
      <c r="J147" s="12"/>
      <c r="K147" s="12"/>
      <c r="L147" s="12"/>
      <c r="M147" s="12"/>
      <c r="N147" s="12"/>
      <c r="O147" s="12"/>
      <c r="P147" s="12"/>
      <c r="Q147" s="12"/>
      <c r="R147" s="12"/>
      <c r="S147" s="12"/>
      <c r="T147" s="12"/>
      <c r="U147" s="12"/>
      <c r="V147" s="12"/>
      <c r="W147" s="12"/>
      <c r="X147" s="12" t="s">
        <v>1571</v>
      </c>
      <c r="Y147" s="12" t="s">
        <v>1746</v>
      </c>
      <c r="Z147" s="12"/>
      <c r="AA147" s="12"/>
      <c r="AB147" s="12"/>
      <c r="AC147" s="12"/>
      <c r="AD147" s="17"/>
    </row>
    <row r="148" spans="2:30" s="3" customFormat="1" ht="13.5" x14ac:dyDescent="0.25">
      <c r="B148" s="10" t="s">
        <v>290</v>
      </c>
      <c r="C148" s="25" t="s">
        <v>53</v>
      </c>
      <c r="D148" s="16" t="str">
        <f>VLOOKUP(B148,'[1]ART 1'!A:E,5,FALSE)</f>
        <v>Ex.</v>
      </c>
      <c r="E148" s="12" t="str">
        <f>VLOOKUP(B148,'[1]ART 2 A)'!A:E,5,FALSE)</f>
        <v>Ex.</v>
      </c>
      <c r="F148" s="12"/>
      <c r="G148" s="12" t="str">
        <f>VLOOKUP(B148,'[1]ART 3'!A:E,5,FALSE)</f>
        <v xml:space="preserve">Ex. </v>
      </c>
      <c r="H148" s="12" t="str">
        <f>VLOOKUP(B148,'[1]ART IV'!A:E,5,FALSE)</f>
        <v xml:space="preserve">Ex. </v>
      </c>
      <c r="I148" s="12"/>
      <c r="J148" s="12"/>
      <c r="K148" s="12"/>
      <c r="L148" s="12"/>
      <c r="M148" s="12"/>
      <c r="N148" s="12"/>
      <c r="O148" s="12"/>
      <c r="P148" s="12"/>
      <c r="Q148" s="12"/>
      <c r="R148" s="12"/>
      <c r="S148" s="12"/>
      <c r="T148" s="12"/>
      <c r="U148" s="12"/>
      <c r="V148" s="12"/>
      <c r="W148" s="12"/>
      <c r="X148" s="12" t="s">
        <v>1571</v>
      </c>
      <c r="Y148" s="12"/>
      <c r="Z148" s="12"/>
      <c r="AA148" s="12"/>
      <c r="AB148" s="12"/>
      <c r="AC148" s="12"/>
      <c r="AD148" s="17"/>
    </row>
    <row r="149" spans="2:30" s="3" customFormat="1" ht="27" x14ac:dyDescent="0.25">
      <c r="B149" s="10" t="s">
        <v>291</v>
      </c>
      <c r="C149" s="25" t="s">
        <v>292</v>
      </c>
      <c r="D149" s="16"/>
      <c r="E149" s="12" t="str">
        <f>VLOOKUP(B149,'[1]ART 2 A)'!A:E,5,FALSE)</f>
        <v>Ex.</v>
      </c>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7"/>
    </row>
    <row r="150" spans="2:30" s="3" customFormat="1" ht="54" x14ac:dyDescent="0.25">
      <c r="B150" s="10" t="s">
        <v>293</v>
      </c>
      <c r="C150" s="25" t="s">
        <v>294</v>
      </c>
      <c r="D150" s="16"/>
      <c r="E150" s="12" t="str">
        <f>VLOOKUP(B150,'[1]ART 2 A)'!A:E,5,FALSE)</f>
        <v>Ex.</v>
      </c>
      <c r="F150" s="12"/>
      <c r="G150" s="12"/>
      <c r="H150" s="12"/>
      <c r="I150" s="12"/>
      <c r="J150" s="12"/>
      <c r="K150" s="12"/>
      <c r="L150" s="12"/>
      <c r="M150" s="12"/>
      <c r="N150" s="12"/>
      <c r="O150" s="12" t="s">
        <v>1562</v>
      </c>
      <c r="P150" s="12"/>
      <c r="Q150" s="12"/>
      <c r="R150" s="12"/>
      <c r="S150" s="12"/>
      <c r="T150" s="12"/>
      <c r="U150" s="12"/>
      <c r="V150" s="12"/>
      <c r="W150" s="12"/>
      <c r="X150" s="12" t="s">
        <v>1571</v>
      </c>
      <c r="Y150" s="12"/>
      <c r="Z150" s="12"/>
      <c r="AA150" s="12"/>
      <c r="AB150" s="12"/>
      <c r="AC150" s="12"/>
      <c r="AD150" s="17"/>
    </row>
    <row r="151" spans="2:30" s="3" customFormat="1" ht="13.5" x14ac:dyDescent="0.25">
      <c r="B151" s="10" t="s">
        <v>295</v>
      </c>
      <c r="C151" s="25" t="s">
        <v>53</v>
      </c>
      <c r="D151" s="16"/>
      <c r="E151" s="12" t="str">
        <f>VLOOKUP(B151,'[1]ART 2 A)'!A:E,5,FALSE)</f>
        <v>Ex.</v>
      </c>
      <c r="F151" s="12"/>
      <c r="G151" s="12"/>
      <c r="H151" s="12"/>
      <c r="I151" s="12"/>
      <c r="J151" s="12"/>
      <c r="K151" s="12"/>
      <c r="L151" s="12"/>
      <c r="M151" s="12"/>
      <c r="N151" s="12"/>
      <c r="O151" s="12" t="s">
        <v>1562</v>
      </c>
      <c r="P151" s="12"/>
      <c r="Q151" s="12"/>
      <c r="R151" s="12"/>
      <c r="S151" s="12"/>
      <c r="T151" s="12"/>
      <c r="U151" s="12"/>
      <c r="V151" s="12"/>
      <c r="W151" s="12"/>
      <c r="X151" s="12" t="s">
        <v>1571</v>
      </c>
      <c r="Y151" s="12"/>
      <c r="Z151" s="12"/>
      <c r="AA151" s="12"/>
      <c r="AB151" s="12"/>
      <c r="AC151" s="12"/>
      <c r="AD151" s="17"/>
    </row>
    <row r="152" spans="2:30" s="3" customFormat="1" ht="40.5" x14ac:dyDescent="0.25">
      <c r="B152" s="10" t="s">
        <v>296</v>
      </c>
      <c r="C152" s="25" t="s">
        <v>297</v>
      </c>
      <c r="D152" s="16"/>
      <c r="E152" s="12" t="str">
        <f>VLOOKUP(B152,'[1]ART 2 A)'!A:E,5,FALSE)</f>
        <v>Ex.</v>
      </c>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7"/>
    </row>
    <row r="153" spans="2:30" s="3" customFormat="1" ht="67.5" x14ac:dyDescent="0.25">
      <c r="B153" s="10" t="s">
        <v>298</v>
      </c>
      <c r="C153" s="25" t="s">
        <v>299</v>
      </c>
      <c r="D153" s="16" t="str">
        <f>VLOOKUP(B153,'[1]ART 1'!A:E,5,FALSE)</f>
        <v>Ex.</v>
      </c>
      <c r="E153" s="12" t="str">
        <f>VLOOKUP(B153,'[1]ART 2 A)'!A:E,5,FALSE)</f>
        <v>Ex.</v>
      </c>
      <c r="F153" s="12"/>
      <c r="G153" s="12" t="str">
        <f>VLOOKUP(B153,'[1]ART 3'!A:E,5,FALSE)</f>
        <v xml:space="preserve">Ex. </v>
      </c>
      <c r="H153" s="12" t="str">
        <f>VLOOKUP(B153,'[1]ART IV'!A:E,5,FALSE)</f>
        <v xml:space="preserve">Ex. </v>
      </c>
      <c r="I153" s="12"/>
      <c r="J153" s="12"/>
      <c r="K153" s="12"/>
      <c r="L153" s="12"/>
      <c r="M153" s="12"/>
      <c r="N153" s="12"/>
      <c r="O153" s="12" t="s">
        <v>1562</v>
      </c>
      <c r="P153" s="12"/>
      <c r="Q153" s="12"/>
      <c r="R153" s="12"/>
      <c r="S153" s="12"/>
      <c r="T153" s="12"/>
      <c r="U153" s="12"/>
      <c r="V153" s="12"/>
      <c r="W153" s="12"/>
      <c r="X153" s="12" t="s">
        <v>1571</v>
      </c>
      <c r="Y153" s="12"/>
      <c r="Z153" s="12"/>
      <c r="AA153" s="12"/>
      <c r="AB153" s="12"/>
      <c r="AC153" s="12"/>
      <c r="AD153" s="17"/>
    </row>
    <row r="154" spans="2:30" s="3" customFormat="1" ht="13.5" x14ac:dyDescent="0.25">
      <c r="B154" s="10" t="s">
        <v>300</v>
      </c>
      <c r="C154" s="25" t="s">
        <v>301</v>
      </c>
      <c r="D154" s="16"/>
      <c r="E154" s="12"/>
      <c r="F154" s="12"/>
      <c r="G154" s="12"/>
      <c r="H154" s="12"/>
      <c r="I154" s="12"/>
      <c r="J154" s="12"/>
      <c r="K154" s="12"/>
      <c r="L154" s="12"/>
      <c r="M154" s="12"/>
      <c r="N154" s="12"/>
      <c r="O154" s="12"/>
      <c r="P154" s="12" t="s">
        <v>1562</v>
      </c>
      <c r="Q154" s="12"/>
      <c r="R154" s="12"/>
      <c r="S154" s="12"/>
      <c r="T154" s="12"/>
      <c r="U154" s="12"/>
      <c r="V154" s="12"/>
      <c r="W154" s="12"/>
      <c r="X154" s="12"/>
      <c r="Y154" s="12"/>
      <c r="Z154" s="12"/>
      <c r="AA154" s="12"/>
      <c r="AB154" s="12"/>
      <c r="AC154" s="12"/>
      <c r="AD154" s="17"/>
    </row>
    <row r="155" spans="2:30" s="3" customFormat="1" ht="13.5" x14ac:dyDescent="0.25">
      <c r="B155" s="10" t="s">
        <v>302</v>
      </c>
      <c r="C155" s="25" t="s">
        <v>157</v>
      </c>
      <c r="D155" s="16"/>
      <c r="E155" s="12" t="str">
        <f>VLOOKUP(B155,'[1]ART 2 A)'!A:E,5,FALSE)</f>
        <v>Ex.</v>
      </c>
      <c r="F155" s="12"/>
      <c r="G155" s="12"/>
      <c r="H155" s="12"/>
      <c r="I155" s="12"/>
      <c r="J155" s="12"/>
      <c r="K155" s="12"/>
      <c r="L155" s="12"/>
      <c r="M155" s="12"/>
      <c r="N155" s="12"/>
      <c r="O155" s="12"/>
      <c r="P155" s="12"/>
      <c r="Q155" s="12"/>
      <c r="R155" s="12"/>
      <c r="S155" s="12"/>
      <c r="T155" s="12"/>
      <c r="U155" s="12"/>
      <c r="V155" s="12"/>
      <c r="W155" s="12"/>
      <c r="X155" s="12" t="s">
        <v>1571</v>
      </c>
      <c r="Y155" s="12"/>
      <c r="Z155" s="12"/>
      <c r="AA155" s="12"/>
      <c r="AB155" s="12"/>
      <c r="AC155" s="12"/>
      <c r="AD155" s="17"/>
    </row>
    <row r="156" spans="2:30" s="3" customFormat="1" ht="175.5" x14ac:dyDescent="0.25">
      <c r="B156" s="10" t="s">
        <v>303</v>
      </c>
      <c r="C156" s="25" t="s">
        <v>304</v>
      </c>
      <c r="D156" s="16"/>
      <c r="E156" s="12" t="str">
        <f>VLOOKUP(B156,'[1]ART 2 A)'!A:E,5,FALSE)</f>
        <v>Ex.</v>
      </c>
      <c r="F156" s="12"/>
      <c r="G156" s="12"/>
      <c r="H156" s="12"/>
      <c r="I156" s="12"/>
      <c r="J156" s="12"/>
      <c r="K156" s="12"/>
      <c r="L156" s="12"/>
      <c r="M156" s="12"/>
      <c r="N156" s="12"/>
      <c r="O156" s="12" t="s">
        <v>1589</v>
      </c>
      <c r="P156" s="12"/>
      <c r="Q156" s="12"/>
      <c r="R156" s="12"/>
      <c r="S156" s="12"/>
      <c r="T156" s="12"/>
      <c r="U156" s="12"/>
      <c r="V156" s="12"/>
      <c r="W156" s="12"/>
      <c r="X156" s="12" t="s">
        <v>1590</v>
      </c>
      <c r="Y156" s="12"/>
      <c r="Z156" s="12"/>
      <c r="AA156" s="12"/>
      <c r="AB156" s="12"/>
      <c r="AC156" s="12"/>
      <c r="AD156" s="17"/>
    </row>
    <row r="157" spans="2:30" s="3" customFormat="1" ht="189" x14ac:dyDescent="0.25">
      <c r="B157" s="10" t="s">
        <v>305</v>
      </c>
      <c r="C157" s="25" t="s">
        <v>306</v>
      </c>
      <c r="D157" s="16" t="str">
        <f>VLOOKUP(B157,'[1]ART 1'!A:E,5,FALSE)</f>
        <v>Ex.Únicamente: Poliuretanos, sin pigmentos, cargas o modificantes, excepto en forma líquida o pastosa, incluidas las emulsiones, dispersiones y soluciones.</v>
      </c>
      <c r="E157" s="12" t="str">
        <f>VLOOKUP(B157,'[1]ART 2 A)'!A:E,5,FALSE)</f>
        <v>Ex.Excepto: Poliuretanos, sin pigmentos, cargas o modificantes, excepto en forma líquida o pastosa, incluidas las emulsiones, dispersiones y soluciones.</v>
      </c>
      <c r="F157" s="12"/>
      <c r="G157" s="12"/>
      <c r="H157" s="12"/>
      <c r="I157" s="12"/>
      <c r="J157" s="12"/>
      <c r="K157" s="12"/>
      <c r="L157" s="12"/>
      <c r="M157" s="12"/>
      <c r="N157" s="12"/>
      <c r="O157" s="12" t="s">
        <v>1591</v>
      </c>
      <c r="P157" s="12"/>
      <c r="Q157" s="12"/>
      <c r="R157" s="12"/>
      <c r="S157" s="12"/>
      <c r="T157" s="12"/>
      <c r="U157" s="12"/>
      <c r="V157" s="12"/>
      <c r="W157" s="12"/>
      <c r="X157" s="12" t="s">
        <v>1571</v>
      </c>
      <c r="Y157" s="12"/>
      <c r="Z157" s="12"/>
      <c r="AA157" s="12"/>
      <c r="AB157" s="12"/>
      <c r="AC157" s="12"/>
      <c r="AD157" s="17"/>
    </row>
    <row r="158" spans="2:30" s="3" customFormat="1" ht="40.5" x14ac:dyDescent="0.25">
      <c r="B158" s="10" t="s">
        <v>307</v>
      </c>
      <c r="C158" s="25" t="s">
        <v>308</v>
      </c>
      <c r="D158" s="16" t="str">
        <f>VLOOKUP(B158,'[1]ART 1'!A:E,5,FALSE)</f>
        <v>Ex.</v>
      </c>
      <c r="E158" s="12" t="str">
        <f>VLOOKUP(B158,'[1]ART 2 A)'!A:E,5,FALSE)</f>
        <v>Ex.</v>
      </c>
      <c r="F158" s="12"/>
      <c r="G158" s="12"/>
      <c r="H158" s="12"/>
      <c r="I158" s="12"/>
      <c r="J158" s="12"/>
      <c r="K158" s="12"/>
      <c r="L158" s="12"/>
      <c r="M158" s="12"/>
      <c r="N158" s="12"/>
      <c r="O158" s="12"/>
      <c r="P158" s="12"/>
      <c r="Q158" s="12"/>
      <c r="R158" s="12"/>
      <c r="S158" s="12"/>
      <c r="T158" s="12"/>
      <c r="U158" s="12"/>
      <c r="V158" s="12"/>
      <c r="W158" s="12"/>
      <c r="X158" s="12" t="s">
        <v>1571</v>
      </c>
      <c r="Y158" s="12"/>
      <c r="Z158" s="12"/>
      <c r="AA158" s="12"/>
      <c r="AB158" s="12"/>
      <c r="AC158" s="12"/>
      <c r="AD158" s="17"/>
    </row>
    <row r="159" spans="2:30" s="3" customFormat="1" ht="13.5" x14ac:dyDescent="0.25">
      <c r="B159" s="10" t="s">
        <v>309</v>
      </c>
      <c r="C159" s="25" t="s">
        <v>53</v>
      </c>
      <c r="D159" s="16"/>
      <c r="E159" s="12" t="str">
        <f>VLOOKUP(B159,'[1]ART 2 A)'!A:E,5,FALSE)</f>
        <v>Ex.</v>
      </c>
      <c r="F159" s="12"/>
      <c r="G159" s="12" t="str">
        <f>VLOOKUP(B159,'[1]ART 3'!A:E,5,FALSE)</f>
        <v xml:space="preserve">Ex. </v>
      </c>
      <c r="H159" s="12" t="str">
        <f>VLOOKUP(B159,'[1]ART IV'!A:E,5,FALSE)</f>
        <v xml:space="preserve">Ex. </v>
      </c>
      <c r="I159" s="12"/>
      <c r="J159" s="12"/>
      <c r="K159" s="12"/>
      <c r="L159" s="12"/>
      <c r="M159" s="12"/>
      <c r="N159" s="12" t="s">
        <v>1570</v>
      </c>
      <c r="O159" s="12" t="s">
        <v>1570</v>
      </c>
      <c r="P159" s="12" t="s">
        <v>1570</v>
      </c>
      <c r="Q159" s="12"/>
      <c r="R159" s="12" t="s">
        <v>1570</v>
      </c>
      <c r="S159" s="12" t="s">
        <v>1570</v>
      </c>
      <c r="T159" s="12"/>
      <c r="U159" s="12"/>
      <c r="V159" s="12"/>
      <c r="W159" s="12" t="s">
        <v>1562</v>
      </c>
      <c r="X159" s="12" t="s">
        <v>1571</v>
      </c>
      <c r="Y159" s="12" t="s">
        <v>1570</v>
      </c>
      <c r="Z159" s="12"/>
      <c r="AA159" s="12"/>
      <c r="AB159" s="12"/>
      <c r="AC159" s="12"/>
      <c r="AD159" s="17"/>
    </row>
    <row r="160" spans="2:30" s="3" customFormat="1" ht="13.5" x14ac:dyDescent="0.25">
      <c r="B160" s="22" t="s">
        <v>310</v>
      </c>
      <c r="C160" s="25" t="s">
        <v>311</v>
      </c>
      <c r="D160" s="16"/>
      <c r="E160" s="12" t="str">
        <f>VLOOKUP(B160,'[1]ART 2 A)'!A:E,5,FALSE)</f>
        <v>Ex.</v>
      </c>
      <c r="F160" s="12"/>
      <c r="G160" s="12"/>
      <c r="H160" s="12"/>
      <c r="I160" s="12"/>
      <c r="J160" s="12"/>
      <c r="K160" s="12"/>
      <c r="L160" s="12"/>
      <c r="M160" s="12"/>
      <c r="N160" s="12"/>
      <c r="O160" s="12" t="s">
        <v>1562</v>
      </c>
      <c r="P160" s="12"/>
      <c r="Q160" s="12"/>
      <c r="R160" s="12"/>
      <c r="S160" s="12"/>
      <c r="T160" s="12"/>
      <c r="U160" s="12"/>
      <c r="V160" s="12"/>
      <c r="W160" s="12"/>
      <c r="X160" s="12" t="s">
        <v>1571</v>
      </c>
      <c r="Y160" s="12"/>
      <c r="Z160" s="12"/>
      <c r="AA160" s="12"/>
      <c r="AB160" s="12"/>
      <c r="AC160" s="12"/>
      <c r="AD160" s="17"/>
    </row>
    <row r="161" spans="2:30" s="3" customFormat="1" ht="13.5" x14ac:dyDescent="0.25">
      <c r="B161" s="10" t="s">
        <v>312</v>
      </c>
      <c r="C161" s="25" t="s">
        <v>53</v>
      </c>
      <c r="D161" s="16"/>
      <c r="E161" s="12" t="str">
        <f>VLOOKUP(B161,'[1]ART 2 A)'!A:E,5,FALSE)</f>
        <v>Ex.</v>
      </c>
      <c r="F161" s="12"/>
      <c r="G161" s="12"/>
      <c r="H161" s="12"/>
      <c r="I161" s="12"/>
      <c r="J161" s="12"/>
      <c r="K161" s="12"/>
      <c r="L161" s="12"/>
      <c r="M161" s="12"/>
      <c r="N161" s="12"/>
      <c r="O161" s="12" t="s">
        <v>1562</v>
      </c>
      <c r="P161" s="12"/>
      <c r="Q161" s="12"/>
      <c r="R161" s="12"/>
      <c r="S161" s="12"/>
      <c r="T161" s="12"/>
      <c r="U161" s="12"/>
      <c r="V161" s="12"/>
      <c r="W161" s="12"/>
      <c r="X161" s="12" t="s">
        <v>1571</v>
      </c>
      <c r="Y161" s="12"/>
      <c r="Z161" s="12"/>
      <c r="AA161" s="12"/>
      <c r="AB161" s="12"/>
      <c r="AC161" s="12"/>
      <c r="AD161" s="17"/>
    </row>
    <row r="162" spans="2:30" s="3" customFormat="1" ht="13.5" x14ac:dyDescent="0.25">
      <c r="B162" s="10" t="s">
        <v>313</v>
      </c>
      <c r="C162" s="25" t="s">
        <v>314</v>
      </c>
      <c r="D162" s="16"/>
      <c r="E162" s="12" t="str">
        <f>VLOOKUP(B162,'[1]ART 2 A)'!A:E,5,FALSE)</f>
        <v>Ex.</v>
      </c>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7"/>
    </row>
    <row r="163" spans="2:30" s="3" customFormat="1" ht="27" x14ac:dyDescent="0.25">
      <c r="B163" s="10" t="s">
        <v>315</v>
      </c>
      <c r="C163" s="25" t="s">
        <v>316</v>
      </c>
      <c r="D163" s="16" t="str">
        <f>VLOOKUP(B163,'[1]ART 1'!A:E,5,FALSE)</f>
        <v>Ex.</v>
      </c>
      <c r="E163" s="12" t="str">
        <f>VLOOKUP(B163,'[1]ART 2 A)'!A:E,5,FALSE)</f>
        <v>Ex.</v>
      </c>
      <c r="F163" s="12"/>
      <c r="G163" s="12" t="str">
        <f>VLOOKUP(B163,'[1]ART 3'!A:E,5,FALSE)</f>
        <v xml:space="preserve">Ex. </v>
      </c>
      <c r="H163" s="12"/>
      <c r="I163" s="12"/>
      <c r="J163" s="12"/>
      <c r="K163" s="12"/>
      <c r="L163" s="12"/>
      <c r="M163" s="12"/>
      <c r="N163" s="12"/>
      <c r="O163" s="12" t="s">
        <v>1570</v>
      </c>
      <c r="P163" s="12"/>
      <c r="Q163" s="12"/>
      <c r="R163" s="12"/>
      <c r="S163" s="12"/>
      <c r="T163" s="12"/>
      <c r="U163" s="12"/>
      <c r="V163" s="12"/>
      <c r="W163" s="12"/>
      <c r="X163" s="12"/>
      <c r="Y163" s="12"/>
      <c r="Z163" s="12"/>
      <c r="AA163" s="12"/>
      <c r="AB163" s="12"/>
      <c r="AC163" s="12"/>
      <c r="AD163" s="17"/>
    </row>
    <row r="164" spans="2:30" s="3" customFormat="1" ht="13.5" x14ac:dyDescent="0.25">
      <c r="B164" s="10" t="s">
        <v>317</v>
      </c>
      <c r="C164" s="25" t="s">
        <v>318</v>
      </c>
      <c r="D164" s="16" t="str">
        <f>VLOOKUP(B164,'[1]ART 1'!A:E,5,FALSE)</f>
        <v>Ex.</v>
      </c>
      <c r="E164" s="12"/>
      <c r="F164" s="12" t="str">
        <f>VLOOKUP(B164,'[1]ART 2 B)'!A:E,5,FALSE)</f>
        <v xml:space="preserve">Ex. </v>
      </c>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7"/>
    </row>
    <row r="165" spans="2:30" s="3" customFormat="1" ht="108" x14ac:dyDescent="0.25">
      <c r="B165" s="10" t="s">
        <v>319</v>
      </c>
      <c r="C165" s="25" t="s">
        <v>320</v>
      </c>
      <c r="D165" s="16" t="str">
        <f>VLOOKUP(B165,'[1]ART 1'!A:E,5,FALSE)</f>
        <v>Ex.Excepto: Desechos, desperdicios y recortes de poli (tereftalato de etileno) (PET).</v>
      </c>
      <c r="E165" s="12" t="str">
        <f>VLOOKUP(B165,'[1]ART 2 A)'!A:E,5,FALSE)</f>
        <v>Ex.Excepto: Desechos, desperdicios y recortes de poli (tereftalato de etileno) (PET).</v>
      </c>
      <c r="F165" s="12"/>
      <c r="G165" s="12" t="str">
        <f>VLOOKUP(B165,'[1]ART 3'!A:E,5,FALSE)</f>
        <v>Ex. Excepto: Desechos, desperdicios y recortes de poli (tereftalato de etileno) (PET).</v>
      </c>
      <c r="H165" s="12"/>
      <c r="I165" s="12"/>
      <c r="J165" s="12"/>
      <c r="K165" s="12"/>
      <c r="L165" s="12"/>
      <c r="M165" s="12"/>
      <c r="N165" s="12"/>
      <c r="O165" s="12"/>
      <c r="P165" s="12"/>
      <c r="Q165" s="12"/>
      <c r="R165" s="12"/>
      <c r="S165" s="12"/>
      <c r="T165" s="12"/>
      <c r="U165" s="12"/>
      <c r="V165" s="12"/>
      <c r="W165" s="12"/>
      <c r="X165" s="12" t="s">
        <v>1592</v>
      </c>
      <c r="Y165" s="12"/>
      <c r="Z165" s="12"/>
      <c r="AA165" s="12"/>
      <c r="AB165" s="12"/>
      <c r="AC165" s="12"/>
      <c r="AD165" s="17"/>
    </row>
    <row r="166" spans="2:30" s="3" customFormat="1" ht="54" x14ac:dyDescent="0.25">
      <c r="B166" s="10" t="s">
        <v>321</v>
      </c>
      <c r="C166" s="25" t="s">
        <v>322</v>
      </c>
      <c r="D166" s="16" t="str">
        <f>VLOOKUP(B166,'[1]ART 1'!A:E,5,FALSE)</f>
        <v>5</v>
      </c>
      <c r="E166" s="12" t="str">
        <f>VLOOKUP(B166,'[1]ART 2 A)'!A:E,5,FALSE)</f>
        <v>Ex.</v>
      </c>
      <c r="F166" s="12"/>
      <c r="G166" s="12"/>
      <c r="H166" s="12"/>
      <c r="I166" s="12"/>
      <c r="J166" s="12"/>
      <c r="K166" s="12"/>
      <c r="L166" s="12"/>
      <c r="M166" s="12"/>
      <c r="N166" s="12"/>
      <c r="O166" s="12"/>
      <c r="P166" s="12"/>
      <c r="Q166" s="12"/>
      <c r="R166" s="12"/>
      <c r="S166" s="12"/>
      <c r="T166" s="12"/>
      <c r="U166" s="12"/>
      <c r="V166" s="12"/>
      <c r="W166" s="12"/>
      <c r="X166" s="12" t="s">
        <v>1571</v>
      </c>
      <c r="Y166" s="12"/>
      <c r="Z166" s="12"/>
      <c r="AA166" s="12"/>
      <c r="AB166" s="12"/>
      <c r="AC166" s="12"/>
      <c r="AD166" s="17"/>
    </row>
    <row r="167" spans="2:30" s="3" customFormat="1" ht="13.5" x14ac:dyDescent="0.25">
      <c r="B167" s="10" t="s">
        <v>323</v>
      </c>
      <c r="C167" s="25" t="s">
        <v>53</v>
      </c>
      <c r="D167" s="16" t="str">
        <f>VLOOKUP(B167,'[1]ART 1'!A:E,5,FALSE)</f>
        <v>5</v>
      </c>
      <c r="E167" s="12" t="str">
        <f>VLOOKUP(B167,'[1]ART 2 A)'!A:E,5,FALSE)</f>
        <v>Ex.</v>
      </c>
      <c r="F167" s="12"/>
      <c r="G167" s="12" t="str">
        <f>VLOOKUP(B167,'[1]ART 3'!A:E,5,FALSE)</f>
        <v xml:space="preserve">Ex. </v>
      </c>
      <c r="H167" s="12" t="str">
        <f>VLOOKUP(B167,'[1]ART IV'!A:E,5,FALSE)</f>
        <v xml:space="preserve">Ex. </v>
      </c>
      <c r="I167" s="12"/>
      <c r="J167" s="12"/>
      <c r="K167" s="12" t="str">
        <f>VLOOKUP(B167,'[1]ART 7'!A:E,5,FALSE)</f>
        <v xml:space="preserve">5 </v>
      </c>
      <c r="L167" s="12"/>
      <c r="M167" s="12" t="str">
        <f>VLOOKUP(B167,'[1]ART 9'!A:E,5,FALSE)</f>
        <v xml:space="preserve">Ex. </v>
      </c>
      <c r="N167" s="12"/>
      <c r="O167" s="12"/>
      <c r="P167" s="12"/>
      <c r="Q167" s="12" t="s">
        <v>1570</v>
      </c>
      <c r="R167" s="12" t="s">
        <v>1570</v>
      </c>
      <c r="S167" s="12"/>
      <c r="T167" s="12"/>
      <c r="U167" s="12"/>
      <c r="V167" s="12"/>
      <c r="W167" s="12"/>
      <c r="X167" s="12" t="s">
        <v>1562</v>
      </c>
      <c r="Y167" s="12"/>
      <c r="Z167" s="12"/>
      <c r="AA167" s="12"/>
      <c r="AB167" s="12"/>
      <c r="AC167" s="12"/>
      <c r="AD167" s="17"/>
    </row>
    <row r="168" spans="2:30" s="3" customFormat="1" ht="81" x14ac:dyDescent="0.25">
      <c r="B168" s="10" t="s">
        <v>324</v>
      </c>
      <c r="C168" s="25" t="s">
        <v>325</v>
      </c>
      <c r="D168" s="16"/>
      <c r="E168" s="12" t="str">
        <f>VLOOKUP(B168,'[1]ART 2 A)'!A:E,5,FALSE)</f>
        <v>Ex.</v>
      </c>
      <c r="F168" s="12"/>
      <c r="G168" s="12"/>
      <c r="H168" s="12" t="str">
        <f>VLOOKUP(B168,'[1]ART IV'!A:E,5,FALSE)</f>
        <v xml:space="preserve">Ex. Excepto: Baldosas (losetas) vinílicas, para recubrimientos en pisos. </v>
      </c>
      <c r="I168" s="12"/>
      <c r="J168" s="12"/>
      <c r="K168" s="12"/>
      <c r="L168" s="12"/>
      <c r="M168" s="12"/>
      <c r="N168" s="12"/>
      <c r="O168" s="12"/>
      <c r="P168" s="12"/>
      <c r="Q168" s="12"/>
      <c r="R168" s="12"/>
      <c r="S168" s="12"/>
      <c r="T168" s="12"/>
      <c r="U168" s="12"/>
      <c r="V168" s="12"/>
      <c r="W168" s="12"/>
      <c r="X168" s="12" t="s">
        <v>1593</v>
      </c>
      <c r="Y168" s="12"/>
      <c r="Z168" s="12"/>
      <c r="AA168" s="12"/>
      <c r="AB168" s="12"/>
      <c r="AC168" s="12"/>
      <c r="AD168" s="17"/>
    </row>
    <row r="169" spans="2:30" s="3" customFormat="1" ht="13.5" x14ac:dyDescent="0.25">
      <c r="B169" s="10" t="s">
        <v>326</v>
      </c>
      <c r="C169" s="25" t="s">
        <v>327</v>
      </c>
      <c r="D169" s="16"/>
      <c r="E169" s="12" t="str">
        <f>VLOOKUP(B169,'[1]ART 2 A)'!A:E,5,FALSE)</f>
        <v>Ex.</v>
      </c>
      <c r="F169" s="12"/>
      <c r="G169" s="12"/>
      <c r="H169" s="12" t="str">
        <f>VLOOKUP(B169,'[1]ART IV'!A:E,5,FALSE)</f>
        <v xml:space="preserve">Ex. </v>
      </c>
      <c r="I169" s="12"/>
      <c r="J169" s="12"/>
      <c r="K169" s="12"/>
      <c r="L169" s="12"/>
      <c r="M169" s="12"/>
      <c r="N169" s="12"/>
      <c r="O169" s="12"/>
      <c r="P169" s="12"/>
      <c r="Q169" s="12"/>
      <c r="R169" s="12"/>
      <c r="S169" s="12"/>
      <c r="T169" s="12"/>
      <c r="U169" s="12"/>
      <c r="V169" s="12"/>
      <c r="W169" s="12"/>
      <c r="X169" s="12" t="s">
        <v>1562</v>
      </c>
      <c r="Y169" s="12"/>
      <c r="Z169" s="12"/>
      <c r="AA169" s="12"/>
      <c r="AB169" s="12"/>
      <c r="AC169" s="12"/>
      <c r="AD169" s="17"/>
    </row>
    <row r="170" spans="2:30" s="3" customFormat="1" ht="13.5" x14ac:dyDescent="0.25">
      <c r="B170" s="10" t="s">
        <v>328</v>
      </c>
      <c r="C170" s="25" t="s">
        <v>318</v>
      </c>
      <c r="D170" s="16" t="str">
        <f>VLOOKUP(B170,'[1]ART 1'!A:E,5,FALSE)</f>
        <v>5</v>
      </c>
      <c r="E170" s="12" t="str">
        <f>VLOOKUP(B170,'[1]ART 2 A)'!A:E,5,FALSE)</f>
        <v>Ex.</v>
      </c>
      <c r="F170" s="12"/>
      <c r="G170" s="12" t="str">
        <f>VLOOKUP(B170,'[1]ART 3'!A:E,5,FALSE)</f>
        <v xml:space="preserve">Ex. </v>
      </c>
      <c r="H170" s="12" t="str">
        <f>VLOOKUP(B170,'[1]ART IV'!A:E,5,FALSE)</f>
        <v xml:space="preserve">Ex. </v>
      </c>
      <c r="I170" s="12"/>
      <c r="J170" s="12"/>
      <c r="K170" s="12"/>
      <c r="L170" s="12"/>
      <c r="M170" s="12"/>
      <c r="N170" s="12"/>
      <c r="O170" s="12"/>
      <c r="P170" s="12"/>
      <c r="Q170" s="12"/>
      <c r="R170" s="12"/>
      <c r="S170" s="12"/>
      <c r="T170" s="12"/>
      <c r="U170" s="12"/>
      <c r="V170" s="12"/>
      <c r="W170" s="12"/>
      <c r="X170" s="12" t="s">
        <v>1571</v>
      </c>
      <c r="Y170" s="12"/>
      <c r="Z170" s="12"/>
      <c r="AA170" s="12"/>
      <c r="AB170" s="12"/>
      <c r="AC170" s="12"/>
      <c r="AD170" s="17"/>
    </row>
    <row r="171" spans="2:30" s="3" customFormat="1" ht="27" x14ac:dyDescent="0.25">
      <c r="B171" s="10" t="s">
        <v>329</v>
      </c>
      <c r="C171" s="25" t="s">
        <v>330</v>
      </c>
      <c r="D171" s="16"/>
      <c r="E171" s="12" t="str">
        <f>VLOOKUP(B171,'[1]ART 2 A)'!A:E,5,FALSE)</f>
        <v>Ex.</v>
      </c>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7"/>
    </row>
    <row r="172" spans="2:30" s="3" customFormat="1" ht="13.5" x14ac:dyDescent="0.25">
      <c r="B172" s="10" t="s">
        <v>331</v>
      </c>
      <c r="C172" s="25" t="s">
        <v>332</v>
      </c>
      <c r="D172" s="16"/>
      <c r="E172" s="12"/>
      <c r="F172" s="12"/>
      <c r="G172" s="12"/>
      <c r="H172" s="12"/>
      <c r="I172" s="12"/>
      <c r="J172" s="12"/>
      <c r="K172" s="12"/>
      <c r="L172" s="12"/>
      <c r="M172" s="12"/>
      <c r="N172" s="12"/>
      <c r="O172" s="12"/>
      <c r="P172" s="12"/>
      <c r="Q172" s="12"/>
      <c r="R172" s="12"/>
      <c r="S172" s="12"/>
      <c r="T172" s="12"/>
      <c r="U172" s="12"/>
      <c r="V172" s="12"/>
      <c r="W172" s="12"/>
      <c r="X172" s="12" t="s">
        <v>1562</v>
      </c>
      <c r="Y172" s="12"/>
      <c r="Z172" s="12"/>
      <c r="AA172" s="12"/>
      <c r="AB172" s="12"/>
      <c r="AC172" s="12"/>
      <c r="AD172" s="17"/>
    </row>
    <row r="173" spans="2:30" s="3" customFormat="1" ht="13.5" x14ac:dyDescent="0.25">
      <c r="B173" s="10" t="s">
        <v>333</v>
      </c>
      <c r="C173" s="25" t="s">
        <v>53</v>
      </c>
      <c r="D173" s="16"/>
      <c r="E173" s="12" t="str">
        <f>VLOOKUP(B173,'[1]ART 2 A)'!A:E,5,FALSE)</f>
        <v>Ex.</v>
      </c>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7"/>
    </row>
    <row r="174" spans="2:30" s="3" customFormat="1" ht="54" x14ac:dyDescent="0.25">
      <c r="B174" s="10" t="s">
        <v>334</v>
      </c>
      <c r="C174" s="25" t="s">
        <v>335</v>
      </c>
      <c r="D174" s="16"/>
      <c r="E174" s="12" t="str">
        <f>VLOOKUP(B174,'[1]ART 2 A)'!A:E,5,FALSE)</f>
        <v>Ex.</v>
      </c>
      <c r="F174" s="12"/>
      <c r="G174" s="12" t="str">
        <f>VLOOKUP(B174,'[1]ART 3'!A:E,5,FALSE)</f>
        <v>Ex. Excepto: A base de poliestireno expandible.</v>
      </c>
      <c r="H174" s="12" t="str">
        <f>VLOOKUP(B174,'[1]ART IV'!A:E,5,FALSE)</f>
        <v xml:space="preserve">Ex. </v>
      </c>
      <c r="I174" s="12"/>
      <c r="J174" s="12"/>
      <c r="K174" s="12"/>
      <c r="L174" s="12"/>
      <c r="M174" s="12"/>
      <c r="N174" s="12"/>
      <c r="O174" s="12" t="s">
        <v>1594</v>
      </c>
      <c r="P174" s="12" t="s">
        <v>1594</v>
      </c>
      <c r="Q174" s="12"/>
      <c r="R174" s="12" t="s">
        <v>1594</v>
      </c>
      <c r="S174" s="12"/>
      <c r="T174" s="12"/>
      <c r="U174" s="12"/>
      <c r="V174" s="12"/>
      <c r="W174" s="12"/>
      <c r="X174" s="12" t="s">
        <v>1562</v>
      </c>
      <c r="Y174" s="12" t="s">
        <v>1595</v>
      </c>
      <c r="Z174" s="12"/>
      <c r="AA174" s="12"/>
      <c r="AB174" s="12"/>
      <c r="AC174" s="12"/>
      <c r="AD174" s="17"/>
    </row>
    <row r="175" spans="2:30" s="3" customFormat="1" ht="94.5" x14ac:dyDescent="0.25">
      <c r="B175" s="10" t="s">
        <v>336</v>
      </c>
      <c r="C175" s="25" t="s">
        <v>337</v>
      </c>
      <c r="D175" s="16" t="str">
        <f>VLOOKUP(B175,'[1]ART 1'!A:E,5,FALSE)</f>
        <v>5</v>
      </c>
      <c r="E175" s="12" t="str">
        <f>VLOOKUP(B175,'[1]ART 2 A)'!A:E,5,FALSE)</f>
        <v>Ex.</v>
      </c>
      <c r="F175" s="12"/>
      <c r="G175" s="12" t="str">
        <f>VLOOKUP(B175,'[1]ART 3'!A:E,5,FALSE)</f>
        <v>Ex. Excepto: Tanques o recipientes con capacidad  superior o igual a 3.5 l.</v>
      </c>
      <c r="H175" s="12" t="str">
        <f>VLOOKUP(B175,'[1]ART IV'!A:E,5,FALSE)</f>
        <v>Ex. Excepto: Tanques o recipientes con capacidad superior o igual a 3.5 l.</v>
      </c>
      <c r="I175" s="12"/>
      <c r="J175" s="12"/>
      <c r="K175" s="12"/>
      <c r="L175" s="12" t="str">
        <f>VLOOKUP(B175,'[1]ART 8'!A:E,5,FALSE)</f>
        <v xml:space="preserve">Ex. </v>
      </c>
      <c r="M175" s="12"/>
      <c r="N175" s="12" t="s">
        <v>1596</v>
      </c>
      <c r="O175" s="12"/>
      <c r="P175" s="12" t="s">
        <v>1596</v>
      </c>
      <c r="Q175" s="12"/>
      <c r="R175" s="12" t="s">
        <v>1597</v>
      </c>
      <c r="S175" s="12" t="s">
        <v>1598</v>
      </c>
      <c r="T175" s="12"/>
      <c r="U175" s="12"/>
      <c r="V175" s="12"/>
      <c r="W175" s="12"/>
      <c r="X175" s="12" t="s">
        <v>1562</v>
      </c>
      <c r="Y175" s="12"/>
      <c r="Z175" s="12"/>
      <c r="AA175" s="12"/>
      <c r="AB175" s="12"/>
      <c r="AC175" s="12"/>
      <c r="AD175" s="17" t="s">
        <v>1598</v>
      </c>
    </row>
    <row r="176" spans="2:30" s="3" customFormat="1" ht="13.5" x14ac:dyDescent="0.25">
      <c r="B176" s="10" t="s">
        <v>338</v>
      </c>
      <c r="C176" s="25" t="s">
        <v>53</v>
      </c>
      <c r="D176" s="16" t="str">
        <f>VLOOKUP(B176,'[1]ART 1'!A:E,5,FALSE)</f>
        <v>2.5</v>
      </c>
      <c r="E176" s="12" t="str">
        <f>VLOOKUP(B176,'[1]ART 2 A)'!A:E,5,FALSE)</f>
        <v>Ex.</v>
      </c>
      <c r="F176" s="12"/>
      <c r="G176" s="12"/>
      <c r="H176" s="12"/>
      <c r="I176" s="12"/>
      <c r="J176" s="12"/>
      <c r="K176" s="12"/>
      <c r="L176" s="12" t="str">
        <f>VLOOKUP(B176,'[1]ART 8'!A:E,5,FALSE)</f>
        <v xml:space="preserve">Ex. </v>
      </c>
      <c r="M176" s="12" t="str">
        <f>VLOOKUP(B176,'[1]ART 9'!A:E,5,FALSE)</f>
        <v xml:space="preserve">Ex. </v>
      </c>
      <c r="N176" s="12" t="s">
        <v>1570</v>
      </c>
      <c r="O176" s="12"/>
      <c r="P176" s="12" t="s">
        <v>1570</v>
      </c>
      <c r="Q176" s="12" t="s">
        <v>1570</v>
      </c>
      <c r="R176" s="12"/>
      <c r="S176" s="12"/>
      <c r="T176" s="12"/>
      <c r="U176" s="12"/>
      <c r="V176" s="12"/>
      <c r="W176" s="12"/>
      <c r="X176" s="12" t="s">
        <v>1562</v>
      </c>
      <c r="Y176" s="12" t="s">
        <v>1570</v>
      </c>
      <c r="Z176" s="12"/>
      <c r="AA176" s="12"/>
      <c r="AB176" s="12"/>
      <c r="AC176" s="12"/>
      <c r="AD176" s="17"/>
    </row>
    <row r="177" spans="2:30" s="3" customFormat="1" ht="27" x14ac:dyDescent="0.25">
      <c r="B177" s="10" t="s">
        <v>339</v>
      </c>
      <c r="C177" s="25" t="s">
        <v>340</v>
      </c>
      <c r="D177" s="16" t="str">
        <f>VLOOKUP(B177,'[1]ART 1'!A:E,5,FALSE)</f>
        <v>5</v>
      </c>
      <c r="E177" s="12" t="str">
        <f>VLOOKUP(B177,'[1]ART 2 A)'!A:E,5,FALSE)</f>
        <v>Ex.</v>
      </c>
      <c r="F177" s="12"/>
      <c r="G177" s="12"/>
      <c r="H177" s="12" t="str">
        <f>VLOOKUP(B177,'[1]ART IV'!A:E,5,FALSE)</f>
        <v xml:space="preserve">Ex. </v>
      </c>
      <c r="I177" s="12"/>
      <c r="J177" s="12"/>
      <c r="K177" s="12" t="str">
        <f>VLOOKUP(B177,'[1]ART 7'!A:E,5,FALSE)</f>
        <v xml:space="preserve">5 </v>
      </c>
      <c r="L177" s="12" t="str">
        <f>VLOOKUP(B177,'[1]ART 8'!A:E,5,FALSE)</f>
        <v xml:space="preserve">Ex. </v>
      </c>
      <c r="M177" s="12" t="str">
        <f>VLOOKUP(B177,'[1]ART 9'!A:E,5,FALSE)</f>
        <v xml:space="preserve">Ex. </v>
      </c>
      <c r="N177" s="12" t="s">
        <v>1570</v>
      </c>
      <c r="O177" s="12"/>
      <c r="P177" s="12" t="s">
        <v>1570</v>
      </c>
      <c r="Q177" s="12" t="s">
        <v>1570</v>
      </c>
      <c r="R177" s="12" t="s">
        <v>1562</v>
      </c>
      <c r="S177" s="12" t="s">
        <v>1570</v>
      </c>
      <c r="T177" s="12"/>
      <c r="U177" s="12"/>
      <c r="V177" s="12"/>
      <c r="W177" s="12" t="s">
        <v>1562</v>
      </c>
      <c r="X177" s="12" t="s">
        <v>1562</v>
      </c>
      <c r="Y177" s="12" t="s">
        <v>1570</v>
      </c>
      <c r="Z177" s="12"/>
      <c r="AA177" s="12"/>
      <c r="AB177" s="12"/>
      <c r="AC177" s="12"/>
      <c r="AD177" s="17"/>
    </row>
    <row r="178" spans="2:30" s="3" customFormat="1" ht="13.5" x14ac:dyDescent="0.25">
      <c r="B178" s="10" t="s">
        <v>341</v>
      </c>
      <c r="C178" s="25" t="s">
        <v>53</v>
      </c>
      <c r="D178" s="16" t="str">
        <f>VLOOKUP(B178,'[1]ART 1'!A:E,5,FALSE)</f>
        <v>5</v>
      </c>
      <c r="E178" s="12" t="str">
        <f>VLOOKUP(B178,'[1]ART 2 A)'!A:E,5,FALSE)</f>
        <v>Ex.</v>
      </c>
      <c r="F178" s="12"/>
      <c r="G178" s="12"/>
      <c r="H178" s="12" t="str">
        <f>VLOOKUP(B178,'[1]ART IV'!A:E,5,FALSE)</f>
        <v xml:space="preserve">Ex. </v>
      </c>
      <c r="I178" s="12"/>
      <c r="J178" s="12"/>
      <c r="K178" s="12" t="str">
        <f>VLOOKUP(B178,'[1]ART 7'!A:E,5,FALSE)</f>
        <v xml:space="preserve">5 </v>
      </c>
      <c r="L178" s="12"/>
      <c r="M178" s="12" t="str">
        <f>VLOOKUP(B178,'[1]ART 9'!A:E,5,FALSE)</f>
        <v xml:space="preserve">Ex. </v>
      </c>
      <c r="N178" s="12" t="s">
        <v>1562</v>
      </c>
      <c r="O178" s="12" t="s">
        <v>1570</v>
      </c>
      <c r="P178" s="12" t="s">
        <v>1570</v>
      </c>
      <c r="Q178" s="12"/>
      <c r="R178" s="12"/>
      <c r="S178" s="12" t="s">
        <v>1562</v>
      </c>
      <c r="T178" s="12" t="s">
        <v>1562</v>
      </c>
      <c r="U178" s="12"/>
      <c r="V178" s="12"/>
      <c r="W178" s="12"/>
      <c r="X178" s="12" t="s">
        <v>1562</v>
      </c>
      <c r="Y178" s="12" t="s">
        <v>1570</v>
      </c>
      <c r="Z178" s="12"/>
      <c r="AA178" s="12"/>
      <c r="AB178" s="12"/>
      <c r="AC178" s="12" t="s">
        <v>1570</v>
      </c>
      <c r="AD178" s="17"/>
    </row>
    <row r="179" spans="2:30" s="3" customFormat="1" ht="27" x14ac:dyDescent="0.25">
      <c r="B179" s="10" t="s">
        <v>342</v>
      </c>
      <c r="C179" s="25" t="s">
        <v>343</v>
      </c>
      <c r="D179" s="16"/>
      <c r="E179" s="12"/>
      <c r="F179" s="12"/>
      <c r="G179" s="12"/>
      <c r="H179" s="12" t="str">
        <f>VLOOKUP(B179,'[1]ART IV'!A:E,5,FALSE)</f>
        <v xml:space="preserve">Ex. </v>
      </c>
      <c r="I179" s="12"/>
      <c r="J179" s="12"/>
      <c r="K179" s="12"/>
      <c r="L179" s="12"/>
      <c r="M179" s="12"/>
      <c r="N179" s="12"/>
      <c r="O179" s="12"/>
      <c r="P179" s="12"/>
      <c r="Q179" s="12"/>
      <c r="R179" s="12"/>
      <c r="S179" s="12"/>
      <c r="T179" s="12"/>
      <c r="U179" s="12"/>
      <c r="V179" s="12"/>
      <c r="W179" s="12"/>
      <c r="X179" s="12"/>
      <c r="Y179" s="12"/>
      <c r="Z179" s="12"/>
      <c r="AA179" s="12"/>
      <c r="AB179" s="12"/>
      <c r="AC179" s="12"/>
      <c r="AD179" s="17"/>
    </row>
    <row r="180" spans="2:30" s="3" customFormat="1" ht="13.5" x14ac:dyDescent="0.25">
      <c r="B180" s="10" t="s">
        <v>344</v>
      </c>
      <c r="C180" s="25" t="s">
        <v>53</v>
      </c>
      <c r="D180" s="16"/>
      <c r="E180" s="12" t="str">
        <f>VLOOKUP(B180,'[1]ART 2 A)'!A:E,5,FALSE)</f>
        <v>Ex.</v>
      </c>
      <c r="F180" s="12"/>
      <c r="G180" s="12"/>
      <c r="H180" s="12"/>
      <c r="I180" s="12"/>
      <c r="J180" s="12"/>
      <c r="K180" s="12"/>
      <c r="L180" s="12"/>
      <c r="M180" s="12"/>
      <c r="N180" s="12"/>
      <c r="O180" s="12"/>
      <c r="P180" s="12"/>
      <c r="Q180" s="12"/>
      <c r="R180" s="12"/>
      <c r="S180" s="12"/>
      <c r="T180" s="12"/>
      <c r="U180" s="12"/>
      <c r="V180" s="12"/>
      <c r="W180" s="12"/>
      <c r="X180" s="12" t="s">
        <v>1562</v>
      </c>
      <c r="Y180" s="12"/>
      <c r="Z180" s="12"/>
      <c r="AA180" s="12"/>
      <c r="AB180" s="12"/>
      <c r="AC180" s="12"/>
      <c r="AD180" s="17"/>
    </row>
    <row r="181" spans="2:30" s="3" customFormat="1" ht="40.5" x14ac:dyDescent="0.25">
      <c r="B181" s="10" t="s">
        <v>345</v>
      </c>
      <c r="C181" s="25" t="s">
        <v>346</v>
      </c>
      <c r="D181" s="16"/>
      <c r="E181" s="12" t="str">
        <f>VLOOKUP(B181,'[1]ART 2 A)'!A:E,5,FALSE)</f>
        <v>Ex.</v>
      </c>
      <c r="F181" s="12"/>
      <c r="G181" s="12"/>
      <c r="H181" s="12"/>
      <c r="I181" s="12"/>
      <c r="J181" s="12"/>
      <c r="K181" s="12"/>
      <c r="L181" s="12"/>
      <c r="M181" s="12"/>
      <c r="N181" s="12"/>
      <c r="O181" s="12"/>
      <c r="P181" s="12" t="s">
        <v>1570</v>
      </c>
      <c r="Q181" s="12"/>
      <c r="R181" s="12"/>
      <c r="S181" s="12"/>
      <c r="T181" s="12"/>
      <c r="U181" s="12"/>
      <c r="V181" s="12"/>
      <c r="W181" s="12"/>
      <c r="X181" s="12"/>
      <c r="Y181" s="12"/>
      <c r="Z181" s="12"/>
      <c r="AA181" s="12"/>
      <c r="AB181" s="12"/>
      <c r="AC181" s="12"/>
      <c r="AD181" s="17"/>
    </row>
    <row r="182" spans="2:30" s="3" customFormat="1" ht="40.5" x14ac:dyDescent="0.25">
      <c r="B182" s="10" t="s">
        <v>347</v>
      </c>
      <c r="C182" s="25" t="s">
        <v>348</v>
      </c>
      <c r="D182" s="16"/>
      <c r="E182" s="12" t="str">
        <f>VLOOKUP(B182,'[1]ART 2 A)'!A:E,5,FALSE)</f>
        <v>Ex.</v>
      </c>
      <c r="F182" s="12"/>
      <c r="G182" s="12"/>
      <c r="H182" s="12"/>
      <c r="I182" s="12"/>
      <c r="J182" s="12"/>
      <c r="K182" s="12"/>
      <c r="L182" s="12"/>
      <c r="M182" s="12"/>
      <c r="N182" s="12"/>
      <c r="O182" s="12"/>
      <c r="P182" s="12" t="s">
        <v>1570</v>
      </c>
      <c r="Q182" s="12"/>
      <c r="R182" s="12"/>
      <c r="S182" s="12"/>
      <c r="T182" s="12"/>
      <c r="U182" s="12"/>
      <c r="V182" s="12"/>
      <c r="W182" s="12"/>
      <c r="X182" s="12"/>
      <c r="Y182" s="12"/>
      <c r="Z182" s="12"/>
      <c r="AA182" s="12"/>
      <c r="AB182" s="12"/>
      <c r="AC182" s="12"/>
      <c r="AD182" s="17"/>
    </row>
    <row r="183" spans="2:30" s="3" customFormat="1" ht="13.5" x14ac:dyDescent="0.25">
      <c r="B183" s="10" t="s">
        <v>349</v>
      </c>
      <c r="C183" s="25" t="s">
        <v>53</v>
      </c>
      <c r="D183" s="16" t="str">
        <f>VLOOKUP(B183,'[1]ART 1'!A:E,5,FALSE)</f>
        <v>5</v>
      </c>
      <c r="E183" s="12" t="str">
        <f>VLOOKUP(B183,'[1]ART 2 A)'!A:E,5,FALSE)</f>
        <v>Ex.</v>
      </c>
      <c r="F183" s="12"/>
      <c r="G183" s="12"/>
      <c r="H183" s="12"/>
      <c r="I183" s="12"/>
      <c r="J183" s="12"/>
      <c r="K183" s="12" t="str">
        <f>VLOOKUP(B183,'[1]ART 7'!A:E,5,FALSE)</f>
        <v xml:space="preserve">5 </v>
      </c>
      <c r="L183" s="12"/>
      <c r="M183" s="12"/>
      <c r="N183" s="12"/>
      <c r="O183" s="12"/>
      <c r="P183" s="12"/>
      <c r="Q183" s="12"/>
      <c r="R183" s="12"/>
      <c r="S183" s="12"/>
      <c r="T183" s="12"/>
      <c r="U183" s="12"/>
      <c r="V183" s="12"/>
      <c r="W183" s="12"/>
      <c r="X183" s="12" t="s">
        <v>1562</v>
      </c>
      <c r="Y183" s="12"/>
      <c r="Z183" s="12"/>
      <c r="AA183" s="12"/>
      <c r="AB183" s="12"/>
      <c r="AC183" s="12"/>
      <c r="AD183" s="17"/>
    </row>
    <row r="184" spans="2:30" s="3" customFormat="1" ht="27" x14ac:dyDescent="0.25">
      <c r="B184" s="10" t="s">
        <v>350</v>
      </c>
      <c r="C184" s="25" t="s">
        <v>351</v>
      </c>
      <c r="D184" s="16" t="str">
        <f>VLOOKUP(B184,'[1]ART 1'!A:E,5,FALSE)</f>
        <v>5</v>
      </c>
      <c r="E184" s="12" t="str">
        <f>VLOOKUP(B184,'[1]ART 2 A)'!A:E,5,FALSE)</f>
        <v>Ex.</v>
      </c>
      <c r="F184" s="12"/>
      <c r="G184" s="12" t="str">
        <f>VLOOKUP(B184,'[1]ART 3'!A:E,5,FALSE)</f>
        <v xml:space="preserve">Ex. </v>
      </c>
      <c r="H184" s="12"/>
      <c r="I184" s="12"/>
      <c r="J184" s="12"/>
      <c r="K184" s="12"/>
      <c r="L184" s="12"/>
      <c r="M184" s="12"/>
      <c r="N184" s="12" t="s">
        <v>1562</v>
      </c>
      <c r="O184" s="12"/>
      <c r="P184" s="12"/>
      <c r="Q184" s="12"/>
      <c r="R184" s="12"/>
      <c r="S184" s="12"/>
      <c r="T184" s="12"/>
      <c r="U184" s="12"/>
      <c r="V184" s="12"/>
      <c r="W184" s="12"/>
      <c r="X184" s="12"/>
      <c r="Y184" s="12"/>
      <c r="Z184" s="12"/>
      <c r="AA184" s="12"/>
      <c r="AB184" s="12"/>
      <c r="AC184" s="12"/>
      <c r="AD184" s="17"/>
    </row>
    <row r="185" spans="2:30" s="3" customFormat="1" ht="108" x14ac:dyDescent="0.25">
      <c r="B185" s="10" t="s">
        <v>352</v>
      </c>
      <c r="C185" s="25" t="s">
        <v>53</v>
      </c>
      <c r="D185" s="16"/>
      <c r="E185" s="12" t="str">
        <f>VLOOKUP(B185,'[1]ART 2 A)'!A:E,5,FALSE)</f>
        <v>Ex.Excepto: Ballenas para corsés, para prendas de vestir o para accesorios del vestido y análogos.</v>
      </c>
      <c r="F185" s="12"/>
      <c r="G185" s="12"/>
      <c r="H185" s="12" t="str">
        <f>VLOOKUP(B185,'[1]ART IV'!A:E,5,FALSE)</f>
        <v>Ex. Excepto: Ballenas para corsés, para prendas de vestir o para accesorios del vestido y análogos.</v>
      </c>
      <c r="I185" s="12"/>
      <c r="J185" s="12"/>
      <c r="K185" s="12"/>
      <c r="L185" s="12"/>
      <c r="M185" s="12"/>
      <c r="N185" s="12" t="s">
        <v>1599</v>
      </c>
      <c r="O185" s="12"/>
      <c r="P185" s="12"/>
      <c r="Q185" s="12"/>
      <c r="R185" s="12"/>
      <c r="S185" s="12"/>
      <c r="T185" s="12"/>
      <c r="U185" s="12"/>
      <c r="V185" s="12"/>
      <c r="W185" s="12"/>
      <c r="X185" s="12" t="s">
        <v>1600</v>
      </c>
      <c r="Y185" s="12" t="s">
        <v>1562</v>
      </c>
      <c r="Z185" s="12"/>
      <c r="AA185" s="12"/>
      <c r="AB185" s="12"/>
      <c r="AC185" s="12"/>
      <c r="AD185" s="17"/>
    </row>
    <row r="186" spans="2:30" s="3" customFormat="1" ht="54" x14ac:dyDescent="0.25">
      <c r="B186" s="10" t="s">
        <v>353</v>
      </c>
      <c r="C186" s="25" t="s">
        <v>354</v>
      </c>
      <c r="D186" s="16" t="str">
        <f>VLOOKUP(B186,'[1]ART 1'!A:E,5,FALSE)</f>
        <v>5Excepto: Molduras para carrocerías.</v>
      </c>
      <c r="E186" s="12" t="str">
        <f>VLOOKUP(B186,'[1]ART 2 A)'!A:E,5,FALSE)</f>
        <v>Ex.Excepto: Molduras para carrocerías.</v>
      </c>
      <c r="F186" s="12"/>
      <c r="G186" s="12" t="str">
        <f>VLOOKUP(B186,'[1]ART 3'!A:E,5,FALSE)</f>
        <v>Ex. Excepto: Molduras para carrocerías.</v>
      </c>
      <c r="H186" s="12" t="str">
        <f>VLOOKUP(B186,'[1]ART IV'!A:E,5,FALSE)</f>
        <v xml:space="preserve">Ex. Excepto: Molduras para carrocerías. </v>
      </c>
      <c r="I186" s="12"/>
      <c r="J186" s="12"/>
      <c r="K186" s="12"/>
      <c r="L186" s="12"/>
      <c r="M186" s="12"/>
      <c r="N186" s="12"/>
      <c r="O186" s="12"/>
      <c r="P186" s="12"/>
      <c r="Q186" s="12" t="s">
        <v>1601</v>
      </c>
      <c r="R186" s="12"/>
      <c r="S186" s="12"/>
      <c r="T186" s="12"/>
      <c r="U186" s="12"/>
      <c r="V186" s="12"/>
      <c r="W186" s="12"/>
      <c r="X186" s="12" t="s">
        <v>1562</v>
      </c>
      <c r="Y186" s="12"/>
      <c r="Z186" s="12"/>
      <c r="AA186" s="12"/>
      <c r="AB186" s="12"/>
      <c r="AC186" s="12"/>
      <c r="AD186" s="17"/>
    </row>
    <row r="187" spans="2:30" s="3" customFormat="1" ht="27" x14ac:dyDescent="0.25">
      <c r="B187" s="10" t="s">
        <v>355</v>
      </c>
      <c r="C187" s="25" t="s">
        <v>356</v>
      </c>
      <c r="D187" s="16"/>
      <c r="E187" s="12"/>
      <c r="F187" s="12"/>
      <c r="G187" s="12"/>
      <c r="H187" s="12" t="str">
        <f>VLOOKUP(B187,'[1]ART IV'!A:E,5,FALSE)</f>
        <v xml:space="preserve">Ex. </v>
      </c>
      <c r="I187" s="12"/>
      <c r="J187" s="12"/>
      <c r="K187" s="12"/>
      <c r="L187" s="12"/>
      <c r="M187" s="12"/>
      <c r="N187" s="12"/>
      <c r="O187" s="12"/>
      <c r="P187" s="12"/>
      <c r="Q187" s="12"/>
      <c r="R187" s="12"/>
      <c r="S187" s="12"/>
      <c r="T187" s="12"/>
      <c r="U187" s="12"/>
      <c r="V187" s="12"/>
      <c r="W187" s="12"/>
      <c r="X187" s="12"/>
      <c r="Y187" s="12"/>
      <c r="Z187" s="12"/>
      <c r="AA187" s="12"/>
      <c r="AB187" s="12"/>
      <c r="AC187" s="12"/>
      <c r="AD187" s="17"/>
    </row>
    <row r="188" spans="2:30" s="3" customFormat="1" ht="27" x14ac:dyDescent="0.25">
      <c r="B188" s="10" t="s">
        <v>357</v>
      </c>
      <c r="C188" s="25" t="s">
        <v>358</v>
      </c>
      <c r="D188" s="16" t="str">
        <f>VLOOKUP(B188,'[1]ART 1'!A:E,5,FALSE)</f>
        <v>5</v>
      </c>
      <c r="E188" s="12"/>
      <c r="F188" s="12"/>
      <c r="G188" s="12" t="str">
        <f>VLOOKUP(B188,'[1]ART 3'!A:E,5,FALSE)</f>
        <v xml:space="preserve">Ex. </v>
      </c>
      <c r="H188" s="12" t="str">
        <f>VLOOKUP(B188,'[1]ART IV'!A:E,5,FALSE)</f>
        <v xml:space="preserve">Ex. </v>
      </c>
      <c r="I188" s="12" t="str">
        <f>VLOOKUP(B188,'[1]ART 5'!A:E,5,FALSE)</f>
        <v xml:space="preserve">5 </v>
      </c>
      <c r="J188" s="12"/>
      <c r="K188" s="12" t="str">
        <f>VLOOKUP(B188,'[1]ART 7'!A:E,5,FALSE)</f>
        <v xml:space="preserve">5 </v>
      </c>
      <c r="L188" s="12"/>
      <c r="M188" s="12"/>
      <c r="N188" s="12" t="s">
        <v>1570</v>
      </c>
      <c r="O188" s="12"/>
      <c r="P188" s="12"/>
      <c r="Q188" s="12"/>
      <c r="R188" s="12"/>
      <c r="S188" s="12"/>
      <c r="T188" s="12"/>
      <c r="U188" s="12"/>
      <c r="V188" s="12"/>
      <c r="W188" s="12"/>
      <c r="X188" s="12" t="s">
        <v>1562</v>
      </c>
      <c r="Y188" s="12"/>
      <c r="Z188" s="12"/>
      <c r="AA188" s="12"/>
      <c r="AB188" s="12"/>
      <c r="AC188" s="12"/>
      <c r="AD188" s="17"/>
    </row>
    <row r="189" spans="2:30" s="3" customFormat="1" ht="13.5" x14ac:dyDescent="0.25">
      <c r="B189" s="10" t="s">
        <v>359</v>
      </c>
      <c r="C189" s="25" t="s">
        <v>360</v>
      </c>
      <c r="D189" s="16"/>
      <c r="E189" s="12"/>
      <c r="F189" s="12"/>
      <c r="G189" s="12"/>
      <c r="H189" s="12"/>
      <c r="I189" s="12"/>
      <c r="J189" s="12"/>
      <c r="K189" s="12"/>
      <c r="L189" s="12"/>
      <c r="M189" s="12"/>
      <c r="N189" s="12"/>
      <c r="O189" s="12"/>
      <c r="P189" s="12"/>
      <c r="Q189" s="12"/>
      <c r="R189" s="12"/>
      <c r="S189" s="12"/>
      <c r="T189" s="12"/>
      <c r="U189" s="12"/>
      <c r="V189" s="12"/>
      <c r="W189" s="12"/>
      <c r="X189" s="12" t="s">
        <v>1562</v>
      </c>
      <c r="Y189" s="12"/>
      <c r="Z189" s="12"/>
      <c r="AA189" s="12"/>
      <c r="AB189" s="12"/>
      <c r="AC189" s="12"/>
      <c r="AD189" s="17"/>
    </row>
    <row r="190" spans="2:30" s="3" customFormat="1" ht="13.5" x14ac:dyDescent="0.25">
      <c r="B190" s="10" t="s">
        <v>361</v>
      </c>
      <c r="C190" s="25" t="s">
        <v>362</v>
      </c>
      <c r="D190" s="16" t="str">
        <f>VLOOKUP(B190,'[1]ART 1'!A:E,5,FALSE)</f>
        <v>5</v>
      </c>
      <c r="E190" s="12" t="str">
        <f>VLOOKUP(B190,'[1]ART 2 A)'!A:E,5,FALSE)</f>
        <v>Ex.</v>
      </c>
      <c r="F190" s="12"/>
      <c r="G190" s="12" t="str">
        <f>VLOOKUP(B190,'[1]ART 3'!A:E,5,FALSE)</f>
        <v xml:space="preserve">Ex. </v>
      </c>
      <c r="H190" s="12" t="str">
        <f>VLOOKUP(B190,'[1]ART IV'!A:E,5,FALSE)</f>
        <v xml:space="preserve">Ex. </v>
      </c>
      <c r="I190" s="12" t="str">
        <f>VLOOKUP(B190,'[1]ART 5'!A:E,5,FALSE)</f>
        <v xml:space="preserve">5 </v>
      </c>
      <c r="J190" s="12"/>
      <c r="K190" s="12"/>
      <c r="L190" s="12"/>
      <c r="M190" s="12"/>
      <c r="N190" s="12"/>
      <c r="O190" s="12"/>
      <c r="P190" s="12"/>
      <c r="Q190" s="12"/>
      <c r="R190" s="12"/>
      <c r="S190" s="12"/>
      <c r="T190" s="12"/>
      <c r="U190" s="12"/>
      <c r="V190" s="12"/>
      <c r="W190" s="12"/>
      <c r="X190" s="12" t="s">
        <v>1562</v>
      </c>
      <c r="Y190" s="12"/>
      <c r="Z190" s="12"/>
      <c r="AA190" s="12"/>
      <c r="AB190" s="12"/>
      <c r="AC190" s="12"/>
      <c r="AD190" s="17"/>
    </row>
    <row r="191" spans="2:30" s="3" customFormat="1" ht="13.5" x14ac:dyDescent="0.25">
      <c r="B191" s="10" t="s">
        <v>363</v>
      </c>
      <c r="C191" s="25" t="s">
        <v>364</v>
      </c>
      <c r="D191" s="16"/>
      <c r="E191" s="12"/>
      <c r="F191" s="12"/>
      <c r="G191" s="12"/>
      <c r="H191" s="12"/>
      <c r="I191" s="12" t="str">
        <f>VLOOKUP(B191,'[1]ART 5'!A:E,5,FALSE)</f>
        <v xml:space="preserve">5 </v>
      </c>
      <c r="J191" s="12"/>
      <c r="K191" s="12"/>
      <c r="L191" s="12"/>
      <c r="M191" s="12"/>
      <c r="N191" s="12"/>
      <c r="O191" s="12"/>
      <c r="P191" s="12"/>
      <c r="Q191" s="12"/>
      <c r="R191" s="12"/>
      <c r="S191" s="12"/>
      <c r="T191" s="12"/>
      <c r="U191" s="12"/>
      <c r="V191" s="12"/>
      <c r="W191" s="12"/>
      <c r="X191" s="12"/>
      <c r="Y191" s="12"/>
      <c r="Z191" s="12"/>
      <c r="AA191" s="12"/>
      <c r="AB191" s="12"/>
      <c r="AC191" s="12"/>
      <c r="AD191" s="17"/>
    </row>
    <row r="192" spans="2:30" s="3" customFormat="1" ht="27" x14ac:dyDescent="0.25">
      <c r="B192" s="10" t="s">
        <v>365</v>
      </c>
      <c r="C192" s="25" t="s">
        <v>366</v>
      </c>
      <c r="D192" s="16" t="str">
        <f>VLOOKUP(B192,'[1]ART 1'!A:E,5,FALSE)</f>
        <v>5</v>
      </c>
      <c r="E192" s="12" t="str">
        <f>VLOOKUP(B192,'[1]ART 2 A)'!A:E,5,FALSE)</f>
        <v>Ex.</v>
      </c>
      <c r="F192" s="12"/>
      <c r="G192" s="12" t="str">
        <f>VLOOKUP(B192,'[1]ART 3'!A:E,5,FALSE)</f>
        <v xml:space="preserve">Ex. </v>
      </c>
      <c r="H192" s="12"/>
      <c r="I192" s="12" t="str">
        <f>VLOOKUP(B192,'[1]ART 5'!A:E,5,FALSE)</f>
        <v xml:space="preserve">5 </v>
      </c>
      <c r="J192" s="12"/>
      <c r="K192" s="12"/>
      <c r="L192" s="12"/>
      <c r="M192" s="12"/>
      <c r="N192" s="12"/>
      <c r="O192" s="12"/>
      <c r="P192" s="12" t="s">
        <v>1570</v>
      </c>
      <c r="Q192" s="12"/>
      <c r="R192" s="12"/>
      <c r="S192" s="12"/>
      <c r="T192" s="12"/>
      <c r="U192" s="12"/>
      <c r="V192" s="12"/>
      <c r="W192" s="12"/>
      <c r="X192" s="12" t="s">
        <v>1562</v>
      </c>
      <c r="Y192" s="12"/>
      <c r="Z192" s="12"/>
      <c r="AA192" s="12"/>
      <c r="AB192" s="12"/>
      <c r="AC192" s="12"/>
      <c r="AD192" s="17"/>
    </row>
    <row r="193" spans="2:30" s="3" customFormat="1" ht="13.5" x14ac:dyDescent="0.25">
      <c r="B193" s="10" t="s">
        <v>367</v>
      </c>
      <c r="C193" s="25" t="s">
        <v>368</v>
      </c>
      <c r="D193" s="16" t="str">
        <f>VLOOKUP(B193,'[1]ART 1'!A:E,5,FALSE)</f>
        <v>5</v>
      </c>
      <c r="E193" s="12" t="str">
        <f>VLOOKUP(B193,'[1]ART 2 A)'!A:E,5,FALSE)</f>
        <v>Ex.</v>
      </c>
      <c r="F193" s="12"/>
      <c r="G193" s="12" t="str">
        <f>VLOOKUP(B193,'[1]ART 3'!A:E,5,FALSE)</f>
        <v xml:space="preserve">Ex. </v>
      </c>
      <c r="H193" s="12" t="str">
        <f>VLOOKUP(B193,'[1]ART IV'!A:E,5,FALSE)</f>
        <v xml:space="preserve">Ex. </v>
      </c>
      <c r="I193" s="12"/>
      <c r="J193" s="12"/>
      <c r="K193" s="12"/>
      <c r="L193" s="12"/>
      <c r="M193" s="12"/>
      <c r="N193" s="12"/>
      <c r="O193" s="12"/>
      <c r="P193" s="12"/>
      <c r="Q193" s="12"/>
      <c r="R193" s="12"/>
      <c r="S193" s="12"/>
      <c r="T193" s="12"/>
      <c r="U193" s="12"/>
      <c r="V193" s="12"/>
      <c r="W193" s="12"/>
      <c r="X193" s="12" t="s">
        <v>1562</v>
      </c>
      <c r="Y193" s="12"/>
      <c r="Z193" s="12"/>
      <c r="AA193" s="12"/>
      <c r="AB193" s="12"/>
      <c r="AC193" s="12"/>
      <c r="AD193" s="17"/>
    </row>
    <row r="194" spans="2:30" s="3" customFormat="1" ht="54" x14ac:dyDescent="0.25">
      <c r="B194" s="10" t="s">
        <v>369</v>
      </c>
      <c r="C194" s="25" t="s">
        <v>370</v>
      </c>
      <c r="D194" s="16" t="str">
        <f>VLOOKUP(B194,'[1]ART 1'!A:E,5,FALSE)</f>
        <v>5</v>
      </c>
      <c r="E194" s="12" t="str">
        <f>VLOOKUP(B194,'[1]ART 2 A)'!A:E,5,FALSE)</f>
        <v>Ex.</v>
      </c>
      <c r="F194" s="12"/>
      <c r="G194" s="12" t="str">
        <f>VLOOKUP(B194,'[1]ART 3'!A:E,5,FALSE)</f>
        <v xml:space="preserve">Ex. </v>
      </c>
      <c r="H194" s="12" t="str">
        <f>VLOOKUP(B194,'[1]ART IV'!A:E,5,FALSE)</f>
        <v xml:space="preserve">Ex. </v>
      </c>
      <c r="I194" s="12" t="str">
        <f>VLOOKUP(B194,'[1]ART 5'!A:E,5,FALSE)</f>
        <v xml:space="preserve">5 </v>
      </c>
      <c r="J194" s="12"/>
      <c r="K194" s="12" t="str">
        <f>VLOOKUP(B194,'[1]ART 7'!A:E,5,FALSE)</f>
        <v xml:space="preserve">5 </v>
      </c>
      <c r="L194" s="12" t="str">
        <f>VLOOKUP(B194,'[1]ART 8'!A:E,5,FALSE)</f>
        <v xml:space="preserve">Ex. </v>
      </c>
      <c r="M194" s="12" t="str">
        <f>VLOOKUP(B194,'[1]ART 9'!A:E,5,FALSE)</f>
        <v xml:space="preserve">Ex. </v>
      </c>
      <c r="N194" s="12" t="s">
        <v>1570</v>
      </c>
      <c r="O194" s="12"/>
      <c r="P194" s="12" t="s">
        <v>1570</v>
      </c>
      <c r="Q194" s="12" t="s">
        <v>1570</v>
      </c>
      <c r="R194" s="12" t="s">
        <v>1570</v>
      </c>
      <c r="S194" s="12" t="s">
        <v>1562</v>
      </c>
      <c r="T194" s="12" t="s">
        <v>1562</v>
      </c>
      <c r="U194" s="12"/>
      <c r="V194" s="12"/>
      <c r="W194" s="12"/>
      <c r="X194" s="12" t="s">
        <v>1562</v>
      </c>
      <c r="Y194" s="12" t="s">
        <v>1570</v>
      </c>
      <c r="Z194" s="12"/>
      <c r="AA194" s="12"/>
      <c r="AB194" s="12"/>
      <c r="AC194" s="12"/>
      <c r="AD194" s="17" t="s">
        <v>1562</v>
      </c>
    </row>
    <row r="195" spans="2:30" s="3" customFormat="1" ht="67.5" x14ac:dyDescent="0.25">
      <c r="B195" s="10" t="s">
        <v>371</v>
      </c>
      <c r="C195" s="25" t="s">
        <v>372</v>
      </c>
      <c r="D195" s="16" t="str">
        <f>VLOOKUP(B195,'[1]ART 1'!A:E,5,FALSE)</f>
        <v>5</v>
      </c>
      <c r="E195" s="12" t="str">
        <f>VLOOKUP(B195,'[1]ART 2 A)'!A:E,5,FALSE)</f>
        <v>Ex.</v>
      </c>
      <c r="F195" s="12"/>
      <c r="G195" s="12"/>
      <c r="H195" s="12"/>
      <c r="I195" s="12"/>
      <c r="J195" s="12"/>
      <c r="K195" s="12"/>
      <c r="L195" s="12"/>
      <c r="M195" s="12"/>
      <c r="N195" s="12"/>
      <c r="O195" s="12"/>
      <c r="P195" s="12"/>
      <c r="Q195" s="12"/>
      <c r="R195" s="12"/>
      <c r="S195" s="12"/>
      <c r="T195" s="12"/>
      <c r="U195" s="12"/>
      <c r="V195" s="12"/>
      <c r="W195" s="12"/>
      <c r="X195" s="12" t="s">
        <v>1562</v>
      </c>
      <c r="Y195" s="12"/>
      <c r="Z195" s="12"/>
      <c r="AA195" s="12"/>
      <c r="AB195" s="12"/>
      <c r="AC195" s="12"/>
      <c r="AD195" s="17"/>
    </row>
    <row r="196" spans="2:30" s="3" customFormat="1" ht="13.5" x14ac:dyDescent="0.25">
      <c r="B196" s="10" t="s">
        <v>373</v>
      </c>
      <c r="C196" s="25" t="s">
        <v>374</v>
      </c>
      <c r="D196" s="16" t="str">
        <f>VLOOKUP(B196,'[1]ART 1'!A:E,5,FALSE)</f>
        <v>5</v>
      </c>
      <c r="E196" s="12" t="str">
        <f>VLOOKUP(B196,'[1]ART 2 A)'!A:E,5,FALSE)</f>
        <v>Ex.</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7"/>
    </row>
    <row r="197" spans="2:30" s="3" customFormat="1" ht="27" x14ac:dyDescent="0.25">
      <c r="B197" s="10" t="s">
        <v>375</v>
      </c>
      <c r="C197" s="25" t="s">
        <v>376</v>
      </c>
      <c r="D197" s="16" t="str">
        <f>VLOOKUP(B197,'[1]ART 1'!A:E,5,FALSE)</f>
        <v>5</v>
      </c>
      <c r="E197" s="12" t="str">
        <f>VLOOKUP(B197,'[1]ART 2 A)'!A:E,5,FALSE)</f>
        <v>Ex.</v>
      </c>
      <c r="F197" s="12"/>
      <c r="G197" s="12"/>
      <c r="H197" s="12" t="str">
        <f>VLOOKUP(B197,'[1]ART IV'!A:E,5,FALSE)</f>
        <v xml:space="preserve">Ex. </v>
      </c>
      <c r="I197" s="12"/>
      <c r="J197" s="12"/>
      <c r="K197" s="12"/>
      <c r="L197" s="12"/>
      <c r="M197" s="12"/>
      <c r="N197" s="12"/>
      <c r="O197" s="12"/>
      <c r="P197" s="12"/>
      <c r="Q197" s="12"/>
      <c r="R197" s="12"/>
      <c r="S197" s="12"/>
      <c r="T197" s="12"/>
      <c r="U197" s="12"/>
      <c r="V197" s="12"/>
      <c r="W197" s="12"/>
      <c r="X197" s="12" t="s">
        <v>1562</v>
      </c>
      <c r="Y197" s="12"/>
      <c r="Z197" s="12"/>
      <c r="AA197" s="12"/>
      <c r="AB197" s="12"/>
      <c r="AC197" s="12"/>
      <c r="AD197" s="17"/>
    </row>
    <row r="198" spans="2:30" s="3" customFormat="1" ht="94.5" x14ac:dyDescent="0.25">
      <c r="B198" s="10" t="s">
        <v>377</v>
      </c>
      <c r="C198" s="25" t="s">
        <v>378</v>
      </c>
      <c r="D198" s="16" t="str">
        <f>VLOOKUP(B198,'[1]ART 1'!A:E,5,FALSE)</f>
        <v>5</v>
      </c>
      <c r="E198" s="12" t="str">
        <f>VLOOKUP(B198,'[1]ART 2 A)'!A:E,5,FALSE)</f>
        <v>Ex.</v>
      </c>
      <c r="F198" s="12"/>
      <c r="G198" s="12" t="str">
        <f>VLOOKUP(B198,'[1]ART 3'!A:E,5,FALSE)</f>
        <v xml:space="preserve">Ex. </v>
      </c>
      <c r="H198" s="12"/>
      <c r="I198" s="12" t="str">
        <f>VLOOKUP(B198,'[1]ART 5'!A:E,5,FALSE)</f>
        <v xml:space="preserve">5 </v>
      </c>
      <c r="J198" s="12"/>
      <c r="K198" s="12"/>
      <c r="L198" s="12"/>
      <c r="M198" s="12"/>
      <c r="N198" s="12"/>
      <c r="O198" s="12"/>
      <c r="P198" s="12"/>
      <c r="Q198" s="12"/>
      <c r="R198" s="12"/>
      <c r="S198" s="12"/>
      <c r="T198" s="12"/>
      <c r="U198" s="12"/>
      <c r="V198" s="12"/>
      <c r="W198" s="12"/>
      <c r="X198" s="12"/>
      <c r="Y198" s="12"/>
      <c r="Z198" s="12"/>
      <c r="AA198" s="12"/>
      <c r="AB198" s="12"/>
      <c r="AC198" s="12"/>
      <c r="AD198" s="17"/>
    </row>
    <row r="199" spans="2:30" s="3" customFormat="1" ht="54" x14ac:dyDescent="0.25">
      <c r="B199" s="10" t="s">
        <v>379</v>
      </c>
      <c r="C199" s="25" t="s">
        <v>380</v>
      </c>
      <c r="D199" s="16" t="str">
        <f>VLOOKUP(B199,'[1]ART 1'!A:E,5,FALSE)</f>
        <v>5</v>
      </c>
      <c r="E199" s="12" t="str">
        <f>VLOOKUP(B199,'[1]ART 2 A)'!A:E,5,FALSE)</f>
        <v>Ex.</v>
      </c>
      <c r="F199" s="12"/>
      <c r="G199" s="12" t="str">
        <f>VLOOKUP(B199,'[1]ART 3'!A:E,5,FALSE)</f>
        <v xml:space="preserve">Ex. </v>
      </c>
      <c r="H199" s="12"/>
      <c r="I199" s="12"/>
      <c r="J199" s="12"/>
      <c r="K199" s="12"/>
      <c r="L199" s="12"/>
      <c r="M199" s="12"/>
      <c r="N199" s="12"/>
      <c r="O199" s="12"/>
      <c r="P199" s="12"/>
      <c r="Q199" s="12"/>
      <c r="R199" s="12"/>
      <c r="S199" s="12"/>
      <c r="T199" s="12"/>
      <c r="U199" s="12"/>
      <c r="V199" s="12"/>
      <c r="W199" s="12"/>
      <c r="X199" s="12"/>
      <c r="Y199" s="12"/>
      <c r="Z199" s="12"/>
      <c r="AA199" s="12"/>
      <c r="AB199" s="12"/>
      <c r="AC199" s="12"/>
      <c r="AD199" s="17"/>
    </row>
    <row r="200" spans="2:30" s="3" customFormat="1" ht="13.5" x14ac:dyDescent="0.25">
      <c r="B200" s="10" t="s">
        <v>381</v>
      </c>
      <c r="C200" s="25" t="s">
        <v>382</v>
      </c>
      <c r="D200" s="16" t="str">
        <f>VLOOKUP(B200,'[1]ART 1'!A:E,5,FALSE)</f>
        <v>5</v>
      </c>
      <c r="E200" s="12" t="str">
        <f>VLOOKUP(B200,'[1]ART 2 A)'!A:E,5,FALSE)</f>
        <v>Ex.</v>
      </c>
      <c r="F200" s="12"/>
      <c r="G200" s="12"/>
      <c r="H200" s="12"/>
      <c r="I200" s="12"/>
      <c r="J200" s="12"/>
      <c r="K200" s="12"/>
      <c r="L200" s="12"/>
      <c r="M200" s="12"/>
      <c r="N200" s="12"/>
      <c r="O200" s="12"/>
      <c r="P200" s="12"/>
      <c r="Q200" s="12"/>
      <c r="R200" s="12"/>
      <c r="S200" s="12"/>
      <c r="T200" s="12"/>
      <c r="U200" s="12"/>
      <c r="V200" s="12"/>
      <c r="W200" s="12"/>
      <c r="X200" s="12" t="s">
        <v>1562</v>
      </c>
      <c r="Y200" s="12"/>
      <c r="Z200" s="12"/>
      <c r="AA200" s="12"/>
      <c r="AB200" s="12"/>
      <c r="AC200" s="12"/>
      <c r="AD200" s="17"/>
    </row>
    <row r="201" spans="2:30" s="3" customFormat="1" ht="135" x14ac:dyDescent="0.25">
      <c r="B201" s="10" t="s">
        <v>383</v>
      </c>
      <c r="C201" s="25" t="s">
        <v>384</v>
      </c>
      <c r="D201" s="16"/>
      <c r="E201" s="12" t="str">
        <f>VLOOKUP(B201,'[1]ART 2 A)'!A:E,5,FALSE)</f>
        <v>Ex.</v>
      </c>
      <c r="F201" s="12"/>
      <c r="G201" s="12"/>
      <c r="H201" s="12"/>
      <c r="I201" s="12"/>
      <c r="J201" s="12"/>
      <c r="K201" s="12"/>
      <c r="L201" s="12"/>
      <c r="M201" s="12"/>
      <c r="N201" s="12"/>
      <c r="O201" s="12" t="s">
        <v>1602</v>
      </c>
      <c r="P201" s="12"/>
      <c r="Q201" s="12"/>
      <c r="R201" s="12"/>
      <c r="S201" s="12"/>
      <c r="T201" s="12"/>
      <c r="U201" s="12"/>
      <c r="V201" s="12"/>
      <c r="W201" s="12"/>
      <c r="X201" s="12"/>
      <c r="Y201" s="12"/>
      <c r="Z201" s="12"/>
      <c r="AA201" s="12"/>
      <c r="AB201" s="12"/>
      <c r="AC201" s="12"/>
      <c r="AD201" s="17"/>
    </row>
    <row r="202" spans="2:30" s="3" customFormat="1" ht="148.5" x14ac:dyDescent="0.25">
      <c r="B202" s="10" t="s">
        <v>385</v>
      </c>
      <c r="C202" s="25" t="s">
        <v>386</v>
      </c>
      <c r="D202" s="16" t="str">
        <f>VLOOKUP(B202,'[1]ART 1'!A:E,5,FALSE)</f>
        <v>5Excepto: De poli(butadieno-estireno) incluso modificados con ácidos carboxílicos, así como los prevulcanizados.</v>
      </c>
      <c r="E202" s="12" t="str">
        <f>VLOOKUP(B202,'[1]ART 2 A)'!A:E,5,FALSE)</f>
        <v>Ex.Excepto: De poli(butadieno-estireno) incluso modificados con ácidos carboxílicos, así como los prevulcanizados.</v>
      </c>
      <c r="F202" s="12"/>
      <c r="G202" s="12"/>
      <c r="H202" s="12"/>
      <c r="I202" s="12"/>
      <c r="J202" s="12"/>
      <c r="K202" s="12"/>
      <c r="L202" s="12"/>
      <c r="M202" s="12"/>
      <c r="N202" s="12" t="s">
        <v>1603</v>
      </c>
      <c r="O202" s="12" t="s">
        <v>1602</v>
      </c>
      <c r="P202" s="12"/>
      <c r="Q202" s="12"/>
      <c r="R202" s="12"/>
      <c r="S202" s="12"/>
      <c r="T202" s="12"/>
      <c r="U202" s="12"/>
      <c r="V202" s="12"/>
      <c r="W202" s="12"/>
      <c r="X202" s="12" t="s">
        <v>1604</v>
      </c>
      <c r="Y202" s="12"/>
      <c r="Z202" s="12"/>
      <c r="AA202" s="12"/>
      <c r="AB202" s="12"/>
      <c r="AC202" s="12"/>
      <c r="AD202" s="17"/>
    </row>
    <row r="203" spans="2:30" s="3" customFormat="1" ht="40.5" x14ac:dyDescent="0.25">
      <c r="B203" s="10" t="s">
        <v>387</v>
      </c>
      <c r="C203" s="25" t="s">
        <v>388</v>
      </c>
      <c r="D203" s="16"/>
      <c r="E203" s="12" t="str">
        <f>VLOOKUP(B203,'[1]ART 2 A)'!A:E,5,FALSE)</f>
        <v>Ex.</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7"/>
    </row>
    <row r="204" spans="2:30" s="3" customFormat="1" ht="13.5" x14ac:dyDescent="0.25">
      <c r="B204" s="10" t="s">
        <v>389</v>
      </c>
      <c r="C204" s="25" t="s">
        <v>53</v>
      </c>
      <c r="D204" s="16"/>
      <c r="E204" s="12" t="str">
        <f>VLOOKUP(B204,'[1]ART 2 A)'!A:E,5,FALSE)</f>
        <v>Ex.</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7"/>
    </row>
    <row r="205" spans="2:30" s="3" customFormat="1" ht="13.5" x14ac:dyDescent="0.25">
      <c r="B205" s="10" t="s">
        <v>390</v>
      </c>
      <c r="C205" s="25" t="s">
        <v>53</v>
      </c>
      <c r="D205" s="16"/>
      <c r="E205" s="12" t="str">
        <f>VLOOKUP(B205,'[1]ART 2 A)'!A:E,5,FALSE)</f>
        <v>Ex.</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7"/>
    </row>
    <row r="206" spans="2:30" s="3" customFormat="1" ht="40.5" x14ac:dyDescent="0.25">
      <c r="B206" s="10" t="s">
        <v>391</v>
      </c>
      <c r="C206" s="25" t="s">
        <v>392</v>
      </c>
      <c r="D206" s="16"/>
      <c r="E206" s="12" t="str">
        <f>VLOOKUP(B206,'[1]ART 2 A)'!A:E,5,FALSE)</f>
        <v>Ex.</v>
      </c>
      <c r="F206" s="12"/>
      <c r="G206" s="12"/>
      <c r="H206" s="12"/>
      <c r="I206" s="12"/>
      <c r="J206" s="12"/>
      <c r="K206" s="12"/>
      <c r="L206" s="12"/>
      <c r="M206" s="12"/>
      <c r="N206" s="12"/>
      <c r="O206" s="12"/>
      <c r="P206" s="12"/>
      <c r="Q206" s="12"/>
      <c r="R206" s="12"/>
      <c r="S206" s="12"/>
      <c r="T206" s="12"/>
      <c r="U206" s="12"/>
      <c r="V206" s="12"/>
      <c r="W206" s="12"/>
      <c r="X206" s="12" t="s">
        <v>1562</v>
      </c>
      <c r="Y206" s="12"/>
      <c r="Z206" s="12"/>
      <c r="AA206" s="12"/>
      <c r="AB206" s="12"/>
      <c r="AC206" s="12"/>
      <c r="AD206" s="17"/>
    </row>
    <row r="207" spans="2:30" s="3" customFormat="1" ht="40.5" x14ac:dyDescent="0.25">
      <c r="B207" s="10" t="s">
        <v>393</v>
      </c>
      <c r="C207" s="25" t="s">
        <v>394</v>
      </c>
      <c r="D207" s="16"/>
      <c r="E207" s="12"/>
      <c r="F207" s="12"/>
      <c r="G207" s="12"/>
      <c r="H207" s="12"/>
      <c r="I207" s="12"/>
      <c r="J207" s="12"/>
      <c r="K207" s="12"/>
      <c r="L207" s="12"/>
      <c r="M207" s="12"/>
      <c r="N207" s="12"/>
      <c r="O207" s="12"/>
      <c r="P207" s="12"/>
      <c r="Q207" s="12"/>
      <c r="R207" s="12"/>
      <c r="S207" s="12"/>
      <c r="T207" s="12"/>
      <c r="U207" s="12"/>
      <c r="V207" s="12"/>
      <c r="W207" s="12"/>
      <c r="X207" s="12" t="s">
        <v>1570</v>
      </c>
      <c r="Y207" s="12"/>
      <c r="Z207" s="12"/>
      <c r="AA207" s="12"/>
      <c r="AB207" s="12"/>
      <c r="AC207" s="12"/>
      <c r="AD207" s="17"/>
    </row>
    <row r="208" spans="2:30" s="3" customFormat="1" ht="13.5" x14ac:dyDescent="0.25">
      <c r="B208" s="10" t="s">
        <v>395</v>
      </c>
      <c r="C208" s="25" t="s">
        <v>53</v>
      </c>
      <c r="D208" s="16"/>
      <c r="E208" s="12"/>
      <c r="F208" s="12"/>
      <c r="G208" s="12"/>
      <c r="H208" s="12"/>
      <c r="I208" s="12"/>
      <c r="J208" s="12"/>
      <c r="K208" s="12"/>
      <c r="L208" s="12"/>
      <c r="M208" s="12"/>
      <c r="N208" s="12"/>
      <c r="O208" s="12"/>
      <c r="P208" s="12"/>
      <c r="Q208" s="12"/>
      <c r="R208" s="12"/>
      <c r="S208" s="12"/>
      <c r="T208" s="12"/>
      <c r="U208" s="12"/>
      <c r="V208" s="12"/>
      <c r="W208" s="12"/>
      <c r="X208" s="12" t="s">
        <v>1571</v>
      </c>
      <c r="Y208" s="12"/>
      <c r="Z208" s="12"/>
      <c r="AA208" s="12"/>
      <c r="AB208" s="12"/>
      <c r="AC208" s="12"/>
      <c r="AD208" s="17"/>
    </row>
    <row r="209" spans="2:30" s="3" customFormat="1" ht="13.5" x14ac:dyDescent="0.25">
      <c r="B209" s="10" t="s">
        <v>396</v>
      </c>
      <c r="C209" s="25" t="s">
        <v>397</v>
      </c>
      <c r="D209" s="16" t="str">
        <f>VLOOKUP(B209,'[1]ART 1'!A:E,5,FALSE)</f>
        <v>5</v>
      </c>
      <c r="E209" s="12" t="str">
        <f>VLOOKUP(B209,'[1]ART 2 A)'!A:E,5,FALSE)</f>
        <v>Ex.</v>
      </c>
      <c r="F209" s="12"/>
      <c r="G209" s="12"/>
      <c r="H209" s="12"/>
      <c r="I209" s="12"/>
      <c r="J209" s="12"/>
      <c r="K209" s="12"/>
      <c r="L209" s="12"/>
      <c r="M209" s="12"/>
      <c r="N209" s="12"/>
      <c r="O209" s="12"/>
      <c r="P209" s="12"/>
      <c r="Q209" s="12"/>
      <c r="R209" s="12"/>
      <c r="S209" s="12"/>
      <c r="T209" s="12"/>
      <c r="U209" s="12"/>
      <c r="V209" s="12"/>
      <c r="W209" s="12"/>
      <c r="X209" s="12" t="s">
        <v>1562</v>
      </c>
      <c r="Y209" s="12" t="s">
        <v>1562</v>
      </c>
      <c r="Z209" s="12"/>
      <c r="AA209" s="12"/>
      <c r="AB209" s="12"/>
      <c r="AC209" s="12"/>
      <c r="AD209" s="17"/>
    </row>
    <row r="210" spans="2:30" s="3" customFormat="1" ht="13.5" x14ac:dyDescent="0.25">
      <c r="B210" s="10" t="s">
        <v>398</v>
      </c>
      <c r="C210" s="25" t="s">
        <v>53</v>
      </c>
      <c r="D210" s="16" t="str">
        <f>VLOOKUP(B210,'[1]ART 1'!A:E,5,FALSE)</f>
        <v>5</v>
      </c>
      <c r="E210" s="12" t="str">
        <f>VLOOKUP(B210,'[1]ART 2 A)'!A:E,5,FALSE)</f>
        <v>Ex.</v>
      </c>
      <c r="F210" s="12"/>
      <c r="G210" s="12" t="str">
        <f>VLOOKUP(B210,'[1]ART 3'!A:E,5,FALSE)</f>
        <v xml:space="preserve">Ex. </v>
      </c>
      <c r="H210" s="12"/>
      <c r="I210" s="12"/>
      <c r="J210" s="12"/>
      <c r="K210" s="12"/>
      <c r="L210" s="12"/>
      <c r="M210" s="12"/>
      <c r="N210" s="12"/>
      <c r="O210" s="12"/>
      <c r="P210" s="12"/>
      <c r="Q210" s="12"/>
      <c r="R210" s="12"/>
      <c r="S210" s="12"/>
      <c r="T210" s="12"/>
      <c r="U210" s="12"/>
      <c r="V210" s="12"/>
      <c r="W210" s="12"/>
      <c r="X210" s="12" t="s">
        <v>1562</v>
      </c>
      <c r="Y210" s="12"/>
      <c r="Z210" s="12"/>
      <c r="AA210" s="12"/>
      <c r="AB210" s="12"/>
      <c r="AC210" s="12"/>
      <c r="AD210" s="17"/>
    </row>
    <row r="211" spans="2:30" s="3" customFormat="1" ht="94.5" x14ac:dyDescent="0.25">
      <c r="B211" s="10" t="s">
        <v>399</v>
      </c>
      <c r="C211" s="25" t="s">
        <v>400</v>
      </c>
      <c r="D211" s="16"/>
      <c r="E211" s="12"/>
      <c r="F211" s="12"/>
      <c r="G211" s="12"/>
      <c r="H211" s="12"/>
      <c r="I211" s="12"/>
      <c r="J211" s="12"/>
      <c r="K211" s="12"/>
      <c r="L211" s="12"/>
      <c r="M211" s="12"/>
      <c r="N211" s="12"/>
      <c r="O211" s="12"/>
      <c r="P211" s="12"/>
      <c r="Q211" s="12"/>
      <c r="R211" s="12"/>
      <c r="S211" s="12"/>
      <c r="T211" s="12"/>
      <c r="U211" s="12"/>
      <c r="V211" s="12"/>
      <c r="W211" s="12"/>
      <c r="X211" s="12" t="s">
        <v>1605</v>
      </c>
      <c r="Y211" s="12"/>
      <c r="Z211" s="12"/>
      <c r="AA211" s="12"/>
      <c r="AB211" s="12"/>
      <c r="AC211" s="12"/>
      <c r="AD211" s="17"/>
    </row>
    <row r="212" spans="2:30" s="3" customFormat="1" ht="67.5" x14ac:dyDescent="0.25">
      <c r="B212" s="10" t="s">
        <v>401</v>
      </c>
      <c r="C212" s="25" t="s">
        <v>402</v>
      </c>
      <c r="D212" s="16"/>
      <c r="E212" s="12"/>
      <c r="F212" s="12"/>
      <c r="G212" s="12"/>
      <c r="H212" s="12"/>
      <c r="I212" s="12"/>
      <c r="J212" s="12"/>
      <c r="K212" s="12"/>
      <c r="L212" s="12"/>
      <c r="M212" s="12"/>
      <c r="N212" s="12"/>
      <c r="O212" s="12"/>
      <c r="P212" s="12"/>
      <c r="Q212" s="12"/>
      <c r="R212" s="12"/>
      <c r="S212" s="12"/>
      <c r="T212" s="12"/>
      <c r="U212" s="12"/>
      <c r="V212" s="12"/>
      <c r="W212" s="12"/>
      <c r="X212" s="12" t="s">
        <v>1606</v>
      </c>
      <c r="Y212" s="12"/>
      <c r="Z212" s="12"/>
      <c r="AA212" s="12"/>
      <c r="AB212" s="12"/>
      <c r="AC212" s="12"/>
      <c r="AD212" s="17"/>
    </row>
    <row r="213" spans="2:30" s="3" customFormat="1" ht="13.5" x14ac:dyDescent="0.25">
      <c r="B213" s="10" t="s">
        <v>403</v>
      </c>
      <c r="C213" s="25" t="s">
        <v>53</v>
      </c>
      <c r="D213" s="16"/>
      <c r="E213" s="12" t="str">
        <f>VLOOKUP(B213,'[1]ART 2 A)'!A:E,5,FALSE)</f>
        <v>Ex.</v>
      </c>
      <c r="F213" s="12"/>
      <c r="G213" s="12"/>
      <c r="H213" s="12"/>
      <c r="I213" s="12"/>
      <c r="J213" s="12"/>
      <c r="K213" s="12"/>
      <c r="L213" s="12"/>
      <c r="M213" s="12"/>
      <c r="N213" s="12"/>
      <c r="O213" s="12"/>
      <c r="P213" s="12"/>
      <c r="Q213" s="12"/>
      <c r="R213" s="12"/>
      <c r="S213" s="12" t="s">
        <v>1562</v>
      </c>
      <c r="T213" s="12"/>
      <c r="U213" s="12"/>
      <c r="V213" s="12"/>
      <c r="W213" s="12"/>
      <c r="X213" s="12"/>
      <c r="Y213" s="12"/>
      <c r="Z213" s="12"/>
      <c r="AA213" s="12"/>
      <c r="AB213" s="12"/>
      <c r="AC213" s="12"/>
      <c r="AD213" s="17"/>
    </row>
    <row r="214" spans="2:30" s="3" customFormat="1" ht="121.5" x14ac:dyDescent="0.25">
      <c r="B214" s="10" t="s">
        <v>404</v>
      </c>
      <c r="C214" s="25" t="s">
        <v>405</v>
      </c>
      <c r="D214" s="16"/>
      <c r="E214" s="12" t="str">
        <f>VLOOKUP(B214,'[1]ART 2 A)'!A:E,5,FALSE)</f>
        <v>Ex.</v>
      </c>
      <c r="F214" s="12"/>
      <c r="G214" s="12"/>
      <c r="H214" s="12"/>
      <c r="I214" s="12"/>
      <c r="J214" s="12"/>
      <c r="K214" s="12" t="str">
        <f>VLOOKUP(B214,'[1]ART 7'!A:E,5,FALSE)</f>
        <v>5 Únicamente: Los demás para rines de diámetro inferior o igual a 61 cm.</v>
      </c>
      <c r="L214" s="12"/>
      <c r="M214" s="12"/>
      <c r="N214" s="12"/>
      <c r="O214" s="12"/>
      <c r="P214" s="12"/>
      <c r="Q214" s="12"/>
      <c r="R214" s="12"/>
      <c r="S214" s="12"/>
      <c r="T214" s="12"/>
      <c r="U214" s="12"/>
      <c r="V214" s="12"/>
      <c r="W214" s="12"/>
      <c r="X214" s="12" t="s">
        <v>1607</v>
      </c>
      <c r="Y214" s="12"/>
      <c r="Z214" s="12"/>
      <c r="AA214" s="12"/>
      <c r="AB214" s="12"/>
      <c r="AC214" s="12"/>
      <c r="AD214" s="17"/>
    </row>
    <row r="215" spans="2:30" s="3" customFormat="1" ht="13.5" x14ac:dyDescent="0.25">
      <c r="B215" s="10" t="s">
        <v>406</v>
      </c>
      <c r="C215" s="25" t="s">
        <v>53</v>
      </c>
      <c r="D215" s="16"/>
      <c r="E215" s="12" t="str">
        <f>VLOOKUP(B215,'[1]ART 2 A)'!A:E,5,FALSE)</f>
        <v>Ex.</v>
      </c>
      <c r="F215" s="12"/>
      <c r="G215" s="12"/>
      <c r="H215" s="12"/>
      <c r="I215" s="12"/>
      <c r="J215" s="12"/>
      <c r="K215" s="12" t="str">
        <f>VLOOKUP(B215,'[1]ART 7'!A:E,5,FALSE)</f>
        <v xml:space="preserve">5 </v>
      </c>
      <c r="L215" s="12"/>
      <c r="M215" s="12"/>
      <c r="N215" s="12"/>
      <c r="O215" s="12"/>
      <c r="P215" s="12"/>
      <c r="Q215" s="12"/>
      <c r="R215" s="12"/>
      <c r="S215" s="12" t="s">
        <v>1562</v>
      </c>
      <c r="T215" s="12"/>
      <c r="U215" s="12"/>
      <c r="V215" s="12"/>
      <c r="W215" s="12"/>
      <c r="X215" s="12" t="s">
        <v>1571</v>
      </c>
      <c r="Y215" s="12"/>
      <c r="Z215" s="12"/>
      <c r="AA215" s="12"/>
      <c r="AB215" s="12"/>
      <c r="AC215" s="12"/>
      <c r="AD215" s="17"/>
    </row>
    <row r="216" spans="2:30" s="3" customFormat="1" ht="81" x14ac:dyDescent="0.25">
      <c r="B216" s="10" t="s">
        <v>407</v>
      </c>
      <c r="C216" s="25" t="s">
        <v>53</v>
      </c>
      <c r="D216" s="16"/>
      <c r="E216" s="12"/>
      <c r="F216" s="12"/>
      <c r="G216" s="12"/>
      <c r="H216" s="12"/>
      <c r="I216" s="12"/>
      <c r="J216" s="12"/>
      <c r="K216" s="12"/>
      <c r="L216" s="12"/>
      <c r="M216" s="12"/>
      <c r="N216" s="12"/>
      <c r="O216" s="12"/>
      <c r="P216" s="12"/>
      <c r="Q216" s="12"/>
      <c r="R216" s="12"/>
      <c r="S216" s="12" t="s">
        <v>1608</v>
      </c>
      <c r="T216" s="12" t="s">
        <v>1608</v>
      </c>
      <c r="U216" s="12"/>
      <c r="V216" s="12"/>
      <c r="W216" s="12"/>
      <c r="X216" s="12" t="s">
        <v>1609</v>
      </c>
      <c r="Y216" s="12"/>
      <c r="Z216" s="12"/>
      <c r="AA216" s="12"/>
      <c r="AB216" s="12"/>
      <c r="AC216" s="12"/>
      <c r="AD216" s="17"/>
    </row>
    <row r="217" spans="2:30" s="3" customFormat="1" ht="67.5" x14ac:dyDescent="0.25">
      <c r="B217" s="10" t="s">
        <v>408</v>
      </c>
      <c r="C217" s="25" t="s">
        <v>409</v>
      </c>
      <c r="D217" s="16"/>
      <c r="E217" s="12"/>
      <c r="F217" s="12"/>
      <c r="G217" s="12"/>
      <c r="H217" s="12"/>
      <c r="I217" s="12"/>
      <c r="J217" s="12"/>
      <c r="K217" s="12"/>
      <c r="L217" s="12"/>
      <c r="M217" s="12"/>
      <c r="N217" s="12"/>
      <c r="O217" s="12"/>
      <c r="P217" s="12"/>
      <c r="Q217" s="12"/>
      <c r="R217" s="12"/>
      <c r="S217" s="12"/>
      <c r="T217" s="12"/>
      <c r="U217" s="12"/>
      <c r="V217" s="12"/>
      <c r="W217" s="12"/>
      <c r="X217" s="12" t="s">
        <v>1562</v>
      </c>
      <c r="Y217" s="12"/>
      <c r="Z217" s="12"/>
      <c r="AA217" s="12"/>
      <c r="AB217" s="12"/>
      <c r="AC217" s="12"/>
      <c r="AD217" s="17"/>
    </row>
    <row r="218" spans="2:30" s="3" customFormat="1" ht="13.5" x14ac:dyDescent="0.25">
      <c r="B218" s="10" t="s">
        <v>410</v>
      </c>
      <c r="C218" s="25" t="s">
        <v>157</v>
      </c>
      <c r="D218" s="16"/>
      <c r="E218" s="12"/>
      <c r="F218" s="12"/>
      <c r="G218" s="12"/>
      <c r="H218" s="12"/>
      <c r="I218" s="12"/>
      <c r="J218" s="12"/>
      <c r="K218" s="12"/>
      <c r="L218" s="12"/>
      <c r="M218" s="12"/>
      <c r="N218" s="12"/>
      <c r="O218" s="12"/>
      <c r="P218" s="12"/>
      <c r="Q218" s="12"/>
      <c r="R218" s="12"/>
      <c r="S218" s="12" t="s">
        <v>1562</v>
      </c>
      <c r="T218" s="12"/>
      <c r="U218" s="12"/>
      <c r="V218" s="12"/>
      <c r="W218" s="12"/>
      <c r="X218" s="12" t="s">
        <v>1562</v>
      </c>
      <c r="Y218" s="12"/>
      <c r="Z218" s="12"/>
      <c r="AA218" s="12"/>
      <c r="AB218" s="12"/>
      <c r="AC218" s="12"/>
      <c r="AD218" s="17"/>
    </row>
    <row r="219" spans="2:30" s="3" customFormat="1" ht="13.5" x14ac:dyDescent="0.25">
      <c r="B219" s="10" t="s">
        <v>411</v>
      </c>
      <c r="C219" s="25" t="s">
        <v>53</v>
      </c>
      <c r="D219" s="16" t="str">
        <f>VLOOKUP(B219,'[1]ART 1'!A:E,5,FALSE)</f>
        <v>5</v>
      </c>
      <c r="E219" s="12" t="str">
        <f>VLOOKUP(B219,'[1]ART 2 A)'!A:E,5,FALSE)</f>
        <v>Ex.</v>
      </c>
      <c r="F219" s="12"/>
      <c r="G219" s="12"/>
      <c r="H219" s="12" t="str">
        <f>VLOOKUP(B219,'[1]ART IV'!A:E,5,FALSE)</f>
        <v xml:space="preserve">Ex.  </v>
      </c>
      <c r="I219" s="12"/>
      <c r="J219" s="12"/>
      <c r="K219" s="12"/>
      <c r="L219" s="12"/>
      <c r="M219" s="12"/>
      <c r="N219" s="12"/>
      <c r="O219" s="12"/>
      <c r="P219" s="12"/>
      <c r="Q219" s="12"/>
      <c r="R219" s="12"/>
      <c r="S219" s="12"/>
      <c r="T219" s="12"/>
      <c r="U219" s="12"/>
      <c r="V219" s="12"/>
      <c r="W219" s="12"/>
      <c r="X219" s="12"/>
      <c r="Y219" s="12"/>
      <c r="Z219" s="12"/>
      <c r="AA219" s="12"/>
      <c r="AB219" s="12"/>
      <c r="AC219" s="12"/>
      <c r="AD219" s="17"/>
    </row>
    <row r="220" spans="2:30" s="3" customFormat="1" ht="13.5" x14ac:dyDescent="0.25">
      <c r="B220" s="10" t="s">
        <v>412</v>
      </c>
      <c r="C220" s="25" t="s">
        <v>53</v>
      </c>
      <c r="D220" s="16" t="str">
        <f>VLOOKUP(B220,'[1]ART 1'!A:E,5,FALSE)</f>
        <v>5</v>
      </c>
      <c r="E220" s="12" t="str">
        <f>VLOOKUP(B220,'[1]ART 2 A)'!A:E,5,FALSE)</f>
        <v>Ex.</v>
      </c>
      <c r="F220" s="12"/>
      <c r="G220" s="12" t="str">
        <f>VLOOKUP(B220,'[1]ART 3'!A:E,5,FALSE)</f>
        <v xml:space="preserve">Ex. </v>
      </c>
      <c r="H220" s="12" t="str">
        <f>VLOOKUP(B220,'[1]ART IV'!A:E,5,FALSE)</f>
        <v xml:space="preserve">Ex.  </v>
      </c>
      <c r="I220" s="12"/>
      <c r="J220" s="12"/>
      <c r="K220" s="12"/>
      <c r="L220" s="12"/>
      <c r="M220" s="12"/>
      <c r="N220" s="12"/>
      <c r="O220" s="12"/>
      <c r="P220" s="12"/>
      <c r="Q220" s="12"/>
      <c r="R220" s="12"/>
      <c r="S220" s="12"/>
      <c r="T220" s="12"/>
      <c r="U220" s="12"/>
      <c r="V220" s="12"/>
      <c r="W220" s="12"/>
      <c r="X220" s="12"/>
      <c r="Y220" s="12"/>
      <c r="Z220" s="12"/>
      <c r="AA220" s="12"/>
      <c r="AB220" s="12"/>
      <c r="AC220" s="12"/>
      <c r="AD220" s="17"/>
    </row>
    <row r="221" spans="2:30" s="3" customFormat="1" ht="54" x14ac:dyDescent="0.25">
      <c r="B221" s="10" t="s">
        <v>413</v>
      </c>
      <c r="C221" s="25" t="s">
        <v>53</v>
      </c>
      <c r="D221" s="16"/>
      <c r="E221" s="12" t="str">
        <f>VLOOKUP(B221,'[1]ART 2 A)'!A:E,5,FALSE)</f>
        <v>Ex.Excepto: Trajes para bucear (de buzo).</v>
      </c>
      <c r="F221" s="12"/>
      <c r="G221" s="12"/>
      <c r="H221" s="12" t="str">
        <f>VLOOKUP(B221,'[1]ART IV'!A:E,5,FALSE)</f>
        <v>Ex. Excepto: Trajes para bucear (de buzo).</v>
      </c>
      <c r="I221" s="12"/>
      <c r="J221" s="12"/>
      <c r="K221" s="12"/>
      <c r="L221" s="12"/>
      <c r="M221" s="12"/>
      <c r="N221" s="12"/>
      <c r="O221" s="12"/>
      <c r="P221" s="12"/>
      <c r="Q221" s="12"/>
      <c r="R221" s="12"/>
      <c r="S221" s="12"/>
      <c r="T221" s="12"/>
      <c r="U221" s="12"/>
      <c r="V221" s="12"/>
      <c r="W221" s="12"/>
      <c r="X221" s="12"/>
      <c r="Y221" s="12"/>
      <c r="Z221" s="12"/>
      <c r="AA221" s="12"/>
      <c r="AB221" s="12"/>
      <c r="AC221" s="12"/>
      <c r="AD221" s="17"/>
    </row>
    <row r="222" spans="2:30" s="3" customFormat="1" ht="27" x14ac:dyDescent="0.25">
      <c r="B222" s="10" t="s">
        <v>414</v>
      </c>
      <c r="C222" s="25" t="s">
        <v>415</v>
      </c>
      <c r="D222" s="16" t="str">
        <f>VLOOKUP(B222,'[1]ART 1'!A:E,5,FALSE)</f>
        <v>5</v>
      </c>
      <c r="E222" s="12" t="str">
        <f>VLOOKUP(B222,'[1]ART 2 A)'!A:E,5,FALSE)</f>
        <v>Ex.</v>
      </c>
      <c r="F222" s="12"/>
      <c r="G222" s="12" t="str">
        <f>VLOOKUP(B222,'[1]ART 3'!A:E,5,FALSE)</f>
        <v xml:space="preserve">Ex. </v>
      </c>
      <c r="H222" s="12"/>
      <c r="I222" s="12"/>
      <c r="J222" s="12"/>
      <c r="K222" s="12"/>
      <c r="L222" s="12"/>
      <c r="M222" s="12"/>
      <c r="N222" s="12"/>
      <c r="O222" s="12"/>
      <c r="P222" s="12"/>
      <c r="Q222" s="12"/>
      <c r="R222" s="12"/>
      <c r="S222" s="12" t="s">
        <v>1562</v>
      </c>
      <c r="T222" s="12"/>
      <c r="U222" s="12"/>
      <c r="V222" s="12"/>
      <c r="W222" s="12"/>
      <c r="X222" s="12" t="s">
        <v>1562</v>
      </c>
      <c r="Y222" s="12"/>
      <c r="Z222" s="12"/>
      <c r="AA222" s="12"/>
      <c r="AB222" s="12"/>
      <c r="AC222" s="12"/>
      <c r="AD222" s="17"/>
    </row>
    <row r="223" spans="2:30" s="3" customFormat="1" ht="13.5" x14ac:dyDescent="0.25">
      <c r="B223" s="10" t="s">
        <v>416</v>
      </c>
      <c r="C223" s="25" t="s">
        <v>157</v>
      </c>
      <c r="D223" s="16"/>
      <c r="E223" s="12" t="str">
        <f>VLOOKUP(B223,'[1]ART 2 A)'!A:E,5,FALSE)</f>
        <v>Ex.</v>
      </c>
      <c r="F223" s="12"/>
      <c r="G223" s="12"/>
      <c r="H223" s="12"/>
      <c r="I223" s="12"/>
      <c r="J223" s="12"/>
      <c r="K223" s="12"/>
      <c r="L223" s="12"/>
      <c r="M223" s="12"/>
      <c r="N223" s="12"/>
      <c r="O223" s="12"/>
      <c r="P223" s="12"/>
      <c r="Q223" s="12"/>
      <c r="R223" s="12"/>
      <c r="S223" s="12"/>
      <c r="T223" s="12"/>
      <c r="U223" s="12"/>
      <c r="V223" s="12"/>
      <c r="W223" s="12"/>
      <c r="X223" s="12" t="s">
        <v>1562</v>
      </c>
      <c r="Y223" s="12"/>
      <c r="Z223" s="12"/>
      <c r="AA223" s="12"/>
      <c r="AB223" s="12"/>
      <c r="AC223" s="12"/>
      <c r="AD223" s="17"/>
    </row>
    <row r="224" spans="2:30" s="3" customFormat="1" ht="13.5" x14ac:dyDescent="0.25">
      <c r="B224" s="10" t="s">
        <v>417</v>
      </c>
      <c r="C224" s="25" t="s">
        <v>53</v>
      </c>
      <c r="D224" s="16"/>
      <c r="E224" s="12"/>
      <c r="F224" s="12"/>
      <c r="G224" s="12"/>
      <c r="H224" s="12"/>
      <c r="I224" s="12"/>
      <c r="J224" s="12"/>
      <c r="K224" s="12"/>
      <c r="L224" s="12"/>
      <c r="M224" s="12"/>
      <c r="N224" s="12"/>
      <c r="O224" s="12"/>
      <c r="P224" s="12"/>
      <c r="Q224" s="12"/>
      <c r="R224" s="12"/>
      <c r="S224" s="12"/>
      <c r="T224" s="12"/>
      <c r="U224" s="12"/>
      <c r="V224" s="12"/>
      <c r="W224" s="12"/>
      <c r="X224" s="12" t="s">
        <v>1562</v>
      </c>
      <c r="Y224" s="12"/>
      <c r="Z224" s="12"/>
      <c r="AA224" s="12"/>
      <c r="AB224" s="12"/>
      <c r="AC224" s="12"/>
      <c r="AD224" s="17"/>
    </row>
    <row r="225" spans="2:30" s="3" customFormat="1" ht="81" x14ac:dyDescent="0.25">
      <c r="B225" s="10" t="s">
        <v>418</v>
      </c>
      <c r="C225" s="25" t="s">
        <v>419</v>
      </c>
      <c r="D225" s="16"/>
      <c r="E225" s="12" t="str">
        <f>VLOOKUP(B225,'[1]ART 2 A)'!A:E,5,FALSE)</f>
        <v>Ex.</v>
      </c>
      <c r="F225" s="12"/>
      <c r="G225" s="12" t="str">
        <f>VLOOKUP(B225,'[1]ART 3'!A:E,5,FALSE)</f>
        <v xml:space="preserve">Ex. </v>
      </c>
      <c r="H225" s="12"/>
      <c r="I225" s="12"/>
      <c r="J225" s="12"/>
      <c r="K225" s="12"/>
      <c r="L225" s="12" t="str">
        <f>VLOOKUP(B225,'[1]ART 8'!A:E,5,FALSE)</f>
        <v xml:space="preserve">Ex. </v>
      </c>
      <c r="M225" s="12" t="str">
        <f>VLOOKUP(B225,'[1]ART 9'!A:E,5,FALSE)</f>
        <v xml:space="preserve">Ex. </v>
      </c>
      <c r="N225" s="12" t="s">
        <v>1562</v>
      </c>
      <c r="O225" s="12"/>
      <c r="P225" s="12"/>
      <c r="Q225" s="12"/>
      <c r="R225" s="12"/>
      <c r="S225" s="12" t="s">
        <v>1562</v>
      </c>
      <c r="T225" s="12" t="s">
        <v>1562</v>
      </c>
      <c r="U225" s="12"/>
      <c r="V225" s="12"/>
      <c r="W225" s="12"/>
      <c r="X225" s="12" t="s">
        <v>1562</v>
      </c>
      <c r="Y225" s="12"/>
      <c r="Z225" s="12"/>
      <c r="AA225" s="12"/>
      <c r="AB225" s="12"/>
      <c r="AC225" s="12"/>
      <c r="AD225" s="17"/>
    </row>
    <row r="226" spans="2:30" s="3" customFormat="1" ht="13.5" x14ac:dyDescent="0.25">
      <c r="B226" s="10" t="s">
        <v>420</v>
      </c>
      <c r="C226" s="25" t="s">
        <v>421</v>
      </c>
      <c r="D226" s="16"/>
      <c r="E226" s="12" t="str">
        <f>VLOOKUP(B226,'[1]ART 2 A)'!A:E,5,FALSE)</f>
        <v>Ex.</v>
      </c>
      <c r="F226" s="12"/>
      <c r="G226" s="12" t="str">
        <f>VLOOKUP(B226,'[1]ART 3'!A:E,5,FALSE)</f>
        <v xml:space="preserve">Ex. </v>
      </c>
      <c r="H226" s="12" t="str">
        <f>VLOOKUP(B226,'[1]ART IV'!A:E,5,FALSE)</f>
        <v xml:space="preserve">Ex. </v>
      </c>
      <c r="I226" s="12"/>
      <c r="J226" s="12"/>
      <c r="K226" s="12"/>
      <c r="L226" s="12"/>
      <c r="M226" s="12"/>
      <c r="N226" s="12"/>
      <c r="O226" s="12"/>
      <c r="P226" s="12" t="s">
        <v>1570</v>
      </c>
      <c r="Q226" s="12"/>
      <c r="R226" s="12"/>
      <c r="S226" s="12"/>
      <c r="T226" s="12"/>
      <c r="U226" s="12"/>
      <c r="V226" s="12"/>
      <c r="W226" s="12"/>
      <c r="X226" s="12"/>
      <c r="Y226" s="12"/>
      <c r="Z226" s="12"/>
      <c r="AA226" s="12"/>
      <c r="AB226" s="12"/>
      <c r="AC226" s="12"/>
      <c r="AD226" s="17"/>
    </row>
    <row r="227" spans="2:30" s="3" customFormat="1" ht="13.5" x14ac:dyDescent="0.25">
      <c r="B227" s="10" t="s">
        <v>422</v>
      </c>
      <c r="C227" s="25" t="s">
        <v>53</v>
      </c>
      <c r="D227" s="16"/>
      <c r="E227" s="12"/>
      <c r="F227" s="12"/>
      <c r="G227" s="12" t="str">
        <f>VLOOKUP(B227,'[1]ART 3'!A:E,5,FALSE)</f>
        <v xml:space="preserve">Ex. </v>
      </c>
      <c r="H227" s="12" t="str">
        <f>VLOOKUP(B227,'[1]ART IV'!A:E,5,FALSE)</f>
        <v xml:space="preserve">Ex. </v>
      </c>
      <c r="I227" s="12"/>
      <c r="J227" s="12"/>
      <c r="K227" s="12"/>
      <c r="L227" s="12"/>
      <c r="M227" s="12"/>
      <c r="N227" s="12"/>
      <c r="O227" s="12"/>
      <c r="P227" s="12"/>
      <c r="Q227" s="12"/>
      <c r="R227" s="12"/>
      <c r="S227" s="12"/>
      <c r="T227" s="12"/>
      <c r="U227" s="12"/>
      <c r="V227" s="12"/>
      <c r="W227" s="12"/>
      <c r="X227" s="12"/>
      <c r="Y227" s="12"/>
      <c r="Z227" s="12"/>
      <c r="AA227" s="12"/>
      <c r="AB227" s="12"/>
      <c r="AC227" s="12"/>
      <c r="AD227" s="17"/>
    </row>
    <row r="228" spans="2:30" s="3" customFormat="1" ht="162" x14ac:dyDescent="0.25">
      <c r="B228" s="10" t="s">
        <v>423</v>
      </c>
      <c r="C228" s="25" t="s">
        <v>424</v>
      </c>
      <c r="D228" s="16"/>
      <c r="E228" s="12"/>
      <c r="F228" s="12"/>
      <c r="G228" s="12" t="str">
        <f>VLOOKUP(B228,'[1]ART 3'!A:E,5,FALSE)</f>
        <v>Ex. Excepto: Partes cortadas en forma, reconocibles como diseñadas exclusivamente para cinturones portaherramientas.</v>
      </c>
      <c r="H228" s="12"/>
      <c r="I228" s="12" t="str">
        <f>VLOOKUP(B228,'[1]ART 5'!A:E,5,FALSE)</f>
        <v>Ex. Excepto: Partes cortadas en forma, reconocibles como diseñadas exclusivamente para cinturones portaherramientas.</v>
      </c>
      <c r="J228" s="12"/>
      <c r="K228" s="12"/>
      <c r="L228" s="12"/>
      <c r="M228" s="12"/>
      <c r="N228" s="12" t="s">
        <v>1610</v>
      </c>
      <c r="O228" s="12"/>
      <c r="P228" s="12"/>
      <c r="Q228" s="12"/>
      <c r="R228" s="12"/>
      <c r="S228" s="12"/>
      <c r="T228" s="12"/>
      <c r="U228" s="12"/>
      <c r="V228" s="12"/>
      <c r="W228" s="12"/>
      <c r="X228" s="12" t="s">
        <v>1610</v>
      </c>
      <c r="Y228" s="12"/>
      <c r="Z228" s="12"/>
      <c r="AA228" s="12"/>
      <c r="AB228" s="12"/>
      <c r="AC228" s="12"/>
      <c r="AD228" s="17"/>
    </row>
    <row r="229" spans="2:30" s="3" customFormat="1" ht="13.5" x14ac:dyDescent="0.25">
      <c r="B229" s="10" t="s">
        <v>425</v>
      </c>
      <c r="C229" s="25" t="s">
        <v>426</v>
      </c>
      <c r="D229" s="16"/>
      <c r="E229" s="12"/>
      <c r="F229" s="12"/>
      <c r="G229" s="12" t="str">
        <f>VLOOKUP(B229,'[1]ART 3'!A:E,5,FALSE)</f>
        <v xml:space="preserve">Ex. </v>
      </c>
      <c r="H229" s="12"/>
      <c r="I229" s="12"/>
      <c r="J229" s="12"/>
      <c r="K229" s="12"/>
      <c r="L229" s="12"/>
      <c r="M229" s="12"/>
      <c r="N229" s="12"/>
      <c r="O229" s="12"/>
      <c r="P229" s="12"/>
      <c r="Q229" s="12"/>
      <c r="R229" s="12"/>
      <c r="S229" s="12"/>
      <c r="T229" s="12"/>
      <c r="U229" s="12"/>
      <c r="V229" s="12" t="s">
        <v>1562</v>
      </c>
      <c r="W229" s="12"/>
      <c r="X229" s="12"/>
      <c r="Y229" s="12"/>
      <c r="Z229" s="12"/>
      <c r="AA229" s="12"/>
      <c r="AB229" s="12"/>
      <c r="AC229" s="12"/>
      <c r="AD229" s="17"/>
    </row>
    <row r="230" spans="2:30" s="3" customFormat="1" ht="13.5" x14ac:dyDescent="0.25">
      <c r="B230" s="10" t="s">
        <v>427</v>
      </c>
      <c r="C230" s="25" t="s">
        <v>426</v>
      </c>
      <c r="D230" s="16"/>
      <c r="E230" s="12"/>
      <c r="F230" s="12"/>
      <c r="G230" s="12" t="str">
        <f>VLOOKUP(B230,'[1]ART 3'!A:E,5,FALSE)</f>
        <v xml:space="preserve">Ex. </v>
      </c>
      <c r="H230" s="12"/>
      <c r="I230" s="12"/>
      <c r="J230" s="12"/>
      <c r="K230" s="12"/>
      <c r="L230" s="12"/>
      <c r="M230" s="12"/>
      <c r="N230" s="12"/>
      <c r="O230" s="12"/>
      <c r="P230" s="12"/>
      <c r="Q230" s="12"/>
      <c r="R230" s="12"/>
      <c r="S230" s="12"/>
      <c r="T230" s="12"/>
      <c r="U230" s="12"/>
      <c r="V230" s="12" t="s">
        <v>1562</v>
      </c>
      <c r="W230" s="12"/>
      <c r="X230" s="12"/>
      <c r="Y230" s="12"/>
      <c r="Z230" s="12"/>
      <c r="AA230" s="12"/>
      <c r="AB230" s="12"/>
      <c r="AC230" s="12"/>
      <c r="AD230" s="17"/>
    </row>
    <row r="231" spans="2:30" s="3" customFormat="1" ht="13.5" x14ac:dyDescent="0.25">
      <c r="B231" s="10" t="s">
        <v>428</v>
      </c>
      <c r="C231" s="25" t="s">
        <v>426</v>
      </c>
      <c r="D231" s="16"/>
      <c r="E231" s="12"/>
      <c r="F231" s="12"/>
      <c r="G231" s="12" t="str">
        <f>VLOOKUP(B231,'[1]ART 3'!A:E,5,FALSE)</f>
        <v xml:space="preserve">Ex. </v>
      </c>
      <c r="H231" s="12"/>
      <c r="I231" s="12"/>
      <c r="J231" s="12"/>
      <c r="K231" s="12"/>
      <c r="L231" s="12"/>
      <c r="M231" s="12"/>
      <c r="N231" s="12"/>
      <c r="O231" s="12"/>
      <c r="P231" s="12"/>
      <c r="Q231" s="12"/>
      <c r="R231" s="12"/>
      <c r="S231" s="12"/>
      <c r="T231" s="12"/>
      <c r="U231" s="12"/>
      <c r="V231" s="12" t="s">
        <v>1562</v>
      </c>
      <c r="W231" s="12"/>
      <c r="X231" s="12"/>
      <c r="Y231" s="12"/>
      <c r="Z231" s="12"/>
      <c r="AA231" s="12"/>
      <c r="AB231" s="12"/>
      <c r="AC231" s="12"/>
      <c r="AD231" s="17"/>
    </row>
    <row r="232" spans="2:30" s="3" customFormat="1" ht="13.5" x14ac:dyDescent="0.25">
      <c r="B232" s="10" t="s">
        <v>429</v>
      </c>
      <c r="C232" s="25" t="s">
        <v>426</v>
      </c>
      <c r="D232" s="16"/>
      <c r="E232" s="12"/>
      <c r="F232" s="12"/>
      <c r="G232" s="12" t="str">
        <f>VLOOKUP(B232,'[1]ART 3'!A:E,5,FALSE)</f>
        <v xml:space="preserve">Ex. </v>
      </c>
      <c r="H232" s="12"/>
      <c r="I232" s="12"/>
      <c r="J232" s="12"/>
      <c r="K232" s="12"/>
      <c r="L232" s="12"/>
      <c r="M232" s="12"/>
      <c r="N232" s="12"/>
      <c r="O232" s="12"/>
      <c r="P232" s="12"/>
      <c r="Q232" s="12"/>
      <c r="R232" s="12"/>
      <c r="S232" s="12"/>
      <c r="T232" s="12"/>
      <c r="U232" s="12"/>
      <c r="V232" s="12" t="s">
        <v>1562</v>
      </c>
      <c r="W232" s="12"/>
      <c r="X232" s="12"/>
      <c r="Y232" s="12"/>
      <c r="Z232" s="12"/>
      <c r="AA232" s="12"/>
      <c r="AB232" s="12"/>
      <c r="AC232" s="12"/>
      <c r="AD232" s="17"/>
    </row>
    <row r="233" spans="2:30" s="3" customFormat="1" ht="13.5" x14ac:dyDescent="0.25">
      <c r="B233" s="10" t="s">
        <v>430</v>
      </c>
      <c r="C233" s="25" t="s">
        <v>426</v>
      </c>
      <c r="D233" s="16"/>
      <c r="E233" s="12"/>
      <c r="F233" s="12"/>
      <c r="G233" s="12" t="str">
        <f>VLOOKUP(B233,'[1]ART 3'!A:E,5,FALSE)</f>
        <v xml:space="preserve">Ex. </v>
      </c>
      <c r="H233" s="12"/>
      <c r="I233" s="12"/>
      <c r="J233" s="12"/>
      <c r="K233" s="12"/>
      <c r="L233" s="12"/>
      <c r="M233" s="12"/>
      <c r="N233" s="12"/>
      <c r="O233" s="12"/>
      <c r="P233" s="12"/>
      <c r="Q233" s="12"/>
      <c r="R233" s="12"/>
      <c r="S233" s="12"/>
      <c r="T233" s="12"/>
      <c r="U233" s="12"/>
      <c r="V233" s="12" t="s">
        <v>1562</v>
      </c>
      <c r="W233" s="12"/>
      <c r="X233" s="12"/>
      <c r="Y233" s="12"/>
      <c r="Z233" s="12"/>
      <c r="AA233" s="12"/>
      <c r="AB233" s="12"/>
      <c r="AC233" s="12"/>
      <c r="AD233" s="17"/>
    </row>
    <row r="234" spans="2:30" s="3" customFormat="1" ht="54" x14ac:dyDescent="0.25">
      <c r="B234" s="10" t="s">
        <v>431</v>
      </c>
      <c r="C234" s="25" t="s">
        <v>432</v>
      </c>
      <c r="D234" s="16"/>
      <c r="E234" s="12"/>
      <c r="F234" s="12"/>
      <c r="G234" s="12" t="str">
        <f>VLOOKUP(B234,'[1]ART 3'!A:E,5,FALSE)</f>
        <v xml:space="preserve">Ex. </v>
      </c>
      <c r="H234" s="12"/>
      <c r="I234" s="12"/>
      <c r="J234" s="12"/>
      <c r="K234" s="12"/>
      <c r="L234" s="12"/>
      <c r="M234" s="12"/>
      <c r="N234" s="12"/>
      <c r="O234" s="12"/>
      <c r="P234" s="12"/>
      <c r="Q234" s="12"/>
      <c r="R234" s="12"/>
      <c r="S234" s="12"/>
      <c r="T234" s="12"/>
      <c r="U234" s="12"/>
      <c r="V234" s="12"/>
      <c r="W234" s="12"/>
      <c r="X234" s="12"/>
      <c r="Y234" s="12"/>
      <c r="Z234" s="12"/>
      <c r="AA234" s="12"/>
      <c r="AB234" s="12"/>
      <c r="AC234" s="12"/>
      <c r="AD234" s="17"/>
    </row>
    <row r="235" spans="2:30" s="3" customFormat="1" ht="162" x14ac:dyDescent="0.25">
      <c r="B235" s="10" t="s">
        <v>433</v>
      </c>
      <c r="C235" s="25" t="s">
        <v>434</v>
      </c>
      <c r="D235" s="16"/>
      <c r="E235" s="12"/>
      <c r="F235" s="12"/>
      <c r="G235" s="12" t="str">
        <f>VLOOKUP(B235,'[1]ART 3'!A:E,5,FALSE)</f>
        <v>Ex. Únicamente: Listones y molduras para muebles, marcos, decorados interiores, conducciones eléctricas y análogos.</v>
      </c>
      <c r="H235" s="12"/>
      <c r="I235" s="12"/>
      <c r="J235" s="12"/>
      <c r="K235" s="12"/>
      <c r="L235" s="12"/>
      <c r="M235" s="12"/>
      <c r="N235" s="12"/>
      <c r="O235" s="12"/>
      <c r="P235" s="12"/>
      <c r="Q235" s="12"/>
      <c r="R235" s="12"/>
      <c r="S235" s="12"/>
      <c r="T235" s="12"/>
      <c r="U235" s="12"/>
      <c r="V235" s="12" t="s">
        <v>1611</v>
      </c>
      <c r="W235" s="12"/>
      <c r="X235" s="12"/>
      <c r="Y235" s="12"/>
      <c r="Z235" s="12"/>
      <c r="AA235" s="12"/>
      <c r="AB235" s="12"/>
      <c r="AC235" s="12"/>
      <c r="AD235" s="17"/>
    </row>
    <row r="236" spans="2:30" s="3" customFormat="1" ht="13.5" x14ac:dyDescent="0.25">
      <c r="B236" s="10" t="s">
        <v>435</v>
      </c>
      <c r="C236" s="25" t="s">
        <v>436</v>
      </c>
      <c r="D236" s="16"/>
      <c r="E236" s="12" t="str">
        <f>VLOOKUP(B236,'[1]ART 2 A)'!A:E,5,FALSE)</f>
        <v>Ex.</v>
      </c>
      <c r="F236" s="12"/>
      <c r="G236" s="12" t="str">
        <f>VLOOKUP(B236,'[1]ART 3'!A:E,5,FALSE)</f>
        <v xml:space="preserve">Ex. </v>
      </c>
      <c r="H236" s="12"/>
      <c r="I236" s="12"/>
      <c r="J236" s="12"/>
      <c r="K236" s="12"/>
      <c r="L236" s="12"/>
      <c r="M236" s="12"/>
      <c r="N236" s="12"/>
      <c r="O236" s="12"/>
      <c r="P236" s="12"/>
      <c r="Q236" s="12"/>
      <c r="R236" s="12"/>
      <c r="S236" s="12"/>
      <c r="T236" s="12"/>
      <c r="U236" s="12"/>
      <c r="V236" s="12"/>
      <c r="W236" s="12"/>
      <c r="X236" s="12"/>
      <c r="Y236" s="12"/>
      <c r="Z236" s="12"/>
      <c r="AA236" s="12"/>
      <c r="AB236" s="12"/>
      <c r="AC236" s="12"/>
      <c r="AD236" s="17"/>
    </row>
    <row r="237" spans="2:30" s="3" customFormat="1" ht="162" x14ac:dyDescent="0.25">
      <c r="B237" s="10" t="s">
        <v>437</v>
      </c>
      <c r="C237" s="25" t="s">
        <v>438</v>
      </c>
      <c r="D237" s="16"/>
      <c r="E237" s="12" t="str">
        <f>VLOOKUP(B237,'[1]ART 2 A)'!A:E,5,FALSE)</f>
        <v>Ex.Excepto: Listones y molduras para muebles, marcos, decorados interiores, conducciones eléctricas y análogos.</v>
      </c>
      <c r="F237" s="12"/>
      <c r="G237" s="12" t="str">
        <f>VLOOKUP(B237,'[1]ART 3'!A:E,5,FALSE)</f>
        <v>Ex. Excepto: De Swietenia macrophylla, cedrella odorata o Cedrella mexicana, cepilladas.</v>
      </c>
      <c r="H237" s="12"/>
      <c r="I237" s="12"/>
      <c r="J237" s="12"/>
      <c r="K237" s="12"/>
      <c r="L237" s="12"/>
      <c r="M237" s="12"/>
      <c r="N237" s="12"/>
      <c r="O237" s="12"/>
      <c r="P237" s="12"/>
      <c r="Q237" s="12"/>
      <c r="R237" s="12"/>
      <c r="S237" s="12"/>
      <c r="T237" s="12"/>
      <c r="U237" s="12"/>
      <c r="V237" s="12" t="s">
        <v>1611</v>
      </c>
      <c r="W237" s="12"/>
      <c r="X237" s="12"/>
      <c r="Y237" s="12"/>
      <c r="Z237" s="12"/>
      <c r="AA237" s="12"/>
      <c r="AB237" s="12"/>
      <c r="AC237" s="12"/>
      <c r="AD237" s="17"/>
    </row>
    <row r="238" spans="2:30" s="3" customFormat="1" ht="108" x14ac:dyDescent="0.25">
      <c r="B238" s="10" t="s">
        <v>439</v>
      </c>
      <c r="C238" s="25" t="s">
        <v>440</v>
      </c>
      <c r="D238" s="16"/>
      <c r="E238" s="12" t="str">
        <f>VLOOKUP(B238,'[1]ART 2 A)'!A:E,5,FALSE)</f>
        <v>Ex.Únicamente: Recubiertos en la superficie con placas u hojas decorativas estratificadas de plástico.</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7"/>
    </row>
    <row r="239" spans="2:30" s="3" customFormat="1" ht="108" x14ac:dyDescent="0.25">
      <c r="B239" s="10" t="s">
        <v>441</v>
      </c>
      <c r="C239" s="25" t="s">
        <v>442</v>
      </c>
      <c r="D239" s="16"/>
      <c r="E239" s="12"/>
      <c r="F239" s="12"/>
      <c r="G239" s="12" t="str">
        <f>VLOOKUP(B239,'[1]ART 3'!A:E,5,FALSE)</f>
        <v xml:space="preserve">10 </v>
      </c>
      <c r="H239" s="12"/>
      <c r="I239" s="12"/>
      <c r="J239" s="12"/>
      <c r="K239" s="12"/>
      <c r="L239" s="12"/>
      <c r="M239" s="12"/>
      <c r="N239" s="12"/>
      <c r="O239" s="12"/>
      <c r="P239" s="12"/>
      <c r="Q239" s="12"/>
      <c r="R239" s="12"/>
      <c r="S239" s="12"/>
      <c r="T239" s="12"/>
      <c r="U239" s="12"/>
      <c r="V239" s="12" t="s">
        <v>1612</v>
      </c>
      <c r="W239" s="12"/>
      <c r="X239" s="12"/>
      <c r="Y239" s="12"/>
      <c r="Z239" s="12"/>
      <c r="AA239" s="12"/>
      <c r="AB239" s="12"/>
      <c r="AC239" s="12"/>
      <c r="AD239" s="17"/>
    </row>
    <row r="240" spans="2:30" s="3" customFormat="1" ht="13.5" x14ac:dyDescent="0.25">
      <c r="B240" s="10" t="s">
        <v>443</v>
      </c>
      <c r="C240" s="25" t="s">
        <v>157</v>
      </c>
      <c r="D240" s="16"/>
      <c r="E240" s="12"/>
      <c r="F240" s="12"/>
      <c r="G240" s="12" t="str">
        <f>VLOOKUP(B240,'[1]ART 3'!A:E,5,FALSE)</f>
        <v xml:space="preserve">5 </v>
      </c>
      <c r="H240" s="12"/>
      <c r="I240" s="12"/>
      <c r="J240" s="12"/>
      <c r="K240" s="12"/>
      <c r="L240" s="12"/>
      <c r="M240" s="12"/>
      <c r="N240" s="12"/>
      <c r="O240" s="12"/>
      <c r="P240" s="12"/>
      <c r="Q240" s="12"/>
      <c r="R240" s="12"/>
      <c r="S240" s="12"/>
      <c r="T240" s="12"/>
      <c r="U240" s="12"/>
      <c r="V240" s="12" t="s">
        <v>1570</v>
      </c>
      <c r="W240" s="12"/>
      <c r="X240" s="12"/>
      <c r="Y240" s="12"/>
      <c r="Z240" s="12"/>
      <c r="AA240" s="12"/>
      <c r="AB240" s="12"/>
      <c r="AC240" s="12"/>
      <c r="AD240" s="17"/>
    </row>
    <row r="241" spans="2:30" s="3" customFormat="1" ht="216" x14ac:dyDescent="0.25">
      <c r="B241" s="10" t="s">
        <v>444</v>
      </c>
      <c r="C241" s="25" t="s">
        <v>445</v>
      </c>
      <c r="D241" s="16"/>
      <c r="E241" s="12"/>
      <c r="F241" s="12"/>
      <c r="G241" s="12" t="str">
        <f>VLOOKUP(B241,'[1]ART 3'!A:E,5,FALSE)</f>
        <v xml:space="preserve">5  </v>
      </c>
      <c r="H241" s="12"/>
      <c r="I241" s="12"/>
      <c r="J241" s="12"/>
      <c r="K241" s="12"/>
      <c r="L241" s="12"/>
      <c r="M241" s="12"/>
      <c r="N241" s="12"/>
      <c r="O241" s="12"/>
      <c r="P241" s="12"/>
      <c r="Q241" s="12"/>
      <c r="R241" s="12"/>
      <c r="S241" s="12"/>
      <c r="T241" s="12"/>
      <c r="U241" s="12"/>
      <c r="V241" s="12" t="s">
        <v>1570</v>
      </c>
      <c r="W241" s="12"/>
      <c r="X241" s="12"/>
      <c r="Y241" s="12"/>
      <c r="Z241" s="12"/>
      <c r="AA241" s="12"/>
      <c r="AB241" s="12"/>
      <c r="AC241" s="12"/>
      <c r="AD241" s="17"/>
    </row>
    <row r="242" spans="2:30" s="3" customFormat="1" ht="67.5" x14ac:dyDescent="0.25">
      <c r="B242" s="10" t="s">
        <v>446</v>
      </c>
      <c r="C242" s="25" t="s">
        <v>447</v>
      </c>
      <c r="D242" s="16"/>
      <c r="E242" s="12"/>
      <c r="F242" s="12"/>
      <c r="G242" s="12" t="str">
        <f>VLOOKUP(B242,'[1]ART 3'!A:E,5,FALSE)</f>
        <v xml:space="preserve">5 </v>
      </c>
      <c r="H242" s="12"/>
      <c r="I242" s="12"/>
      <c r="J242" s="12"/>
      <c r="K242" s="12"/>
      <c r="L242" s="12"/>
      <c r="M242" s="12"/>
      <c r="N242" s="12"/>
      <c r="O242" s="12"/>
      <c r="P242" s="12"/>
      <c r="Q242" s="12"/>
      <c r="R242" s="12"/>
      <c r="S242" s="12"/>
      <c r="T242" s="12"/>
      <c r="U242" s="12"/>
      <c r="V242" s="12"/>
      <c r="W242" s="12"/>
      <c r="X242" s="12"/>
      <c r="Y242" s="12"/>
      <c r="Z242" s="12"/>
      <c r="AA242" s="12"/>
      <c r="AB242" s="12"/>
      <c r="AC242" s="12"/>
      <c r="AD242" s="17"/>
    </row>
    <row r="243" spans="2:30" s="3" customFormat="1" ht="13.5" x14ac:dyDescent="0.25">
      <c r="B243" s="10" t="s">
        <v>448</v>
      </c>
      <c r="C243" s="25" t="s">
        <v>449</v>
      </c>
      <c r="D243" s="16"/>
      <c r="E243" s="12"/>
      <c r="F243" s="12"/>
      <c r="G243" s="12" t="str">
        <f>VLOOKUP(B243,'[1]ART 3'!A:E,5,FALSE)</f>
        <v xml:space="preserve">5 </v>
      </c>
      <c r="H243" s="12"/>
      <c r="I243" s="12"/>
      <c r="J243" s="12"/>
      <c r="K243" s="12"/>
      <c r="L243" s="12"/>
      <c r="M243" s="12"/>
      <c r="N243" s="12"/>
      <c r="O243" s="12"/>
      <c r="P243" s="12"/>
      <c r="Q243" s="12"/>
      <c r="R243" s="12"/>
      <c r="S243" s="12"/>
      <c r="T243" s="12"/>
      <c r="U243" s="12"/>
      <c r="V243" s="12" t="s">
        <v>1570</v>
      </c>
      <c r="W243" s="12"/>
      <c r="X243" s="12"/>
      <c r="Y243" s="12"/>
      <c r="Z243" s="12"/>
      <c r="AA243" s="12"/>
      <c r="AB243" s="12"/>
      <c r="AC243" s="12"/>
      <c r="AD243" s="17"/>
    </row>
    <row r="244" spans="2:30" s="3" customFormat="1" ht="409.5" x14ac:dyDescent="0.25">
      <c r="B244" s="10" t="s">
        <v>450</v>
      </c>
      <c r="C244" s="25" t="s">
        <v>451</v>
      </c>
      <c r="D244" s="16"/>
      <c r="E244" s="12"/>
      <c r="F244" s="12"/>
      <c r="G244" s="12" t="str">
        <f>VLOOKUP(B244,'[1]ART 3'!A:E,5,FALSE)</f>
        <v>5 Únicamente: Que tengan, por lo menos, una hoja de las maderas tropicales siguientes: Abura, Acajou d’Afrique, Afrormosia, Ako, Alan, Andiroba, Aningré, Avodiré, Azobé, Balau, Balsa, Bossé clair,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Tiamara, Tola, Virola, White Lauan, White Meranti, White Seraya, Yellow Meranti; que tengan, por lo menos, un tablero de partículas.</v>
      </c>
      <c r="H244" s="12"/>
      <c r="I244" s="12"/>
      <c r="J244" s="12"/>
      <c r="K244" s="12"/>
      <c r="L244" s="12"/>
      <c r="M244" s="12"/>
      <c r="N244" s="12"/>
      <c r="O244" s="12"/>
      <c r="P244" s="12"/>
      <c r="Q244" s="12"/>
      <c r="R244" s="12"/>
      <c r="S244" s="12"/>
      <c r="T244" s="12"/>
      <c r="U244" s="12"/>
      <c r="V244" s="12" t="s">
        <v>1613</v>
      </c>
      <c r="W244" s="12"/>
      <c r="X244" s="12"/>
      <c r="Y244" s="12"/>
      <c r="Z244" s="12"/>
      <c r="AA244" s="12"/>
      <c r="AB244" s="12"/>
      <c r="AC244" s="12"/>
      <c r="AD244" s="17"/>
    </row>
    <row r="245" spans="2:30" s="3" customFormat="1" ht="108" x14ac:dyDescent="0.25">
      <c r="B245" s="10" t="s">
        <v>452</v>
      </c>
      <c r="C245" s="25" t="s">
        <v>451</v>
      </c>
      <c r="D245" s="16"/>
      <c r="E245" s="12"/>
      <c r="F245" s="12"/>
      <c r="G245" s="12" t="str">
        <f>VLOOKUP(B245,'[1]ART 3'!A:E,5,FALSE)</f>
        <v>5 Únicamente: Que tengan, por lo menos, un tablero de partículas.</v>
      </c>
      <c r="H245" s="12"/>
      <c r="I245" s="12"/>
      <c r="J245" s="12"/>
      <c r="K245" s="12"/>
      <c r="L245" s="12"/>
      <c r="M245" s="12"/>
      <c r="N245" s="12"/>
      <c r="O245" s="12"/>
      <c r="P245" s="12"/>
      <c r="Q245" s="12"/>
      <c r="R245" s="12"/>
      <c r="S245" s="12"/>
      <c r="T245" s="12"/>
      <c r="U245" s="12"/>
      <c r="V245" s="12" t="s">
        <v>1613</v>
      </c>
      <c r="W245" s="12"/>
      <c r="X245" s="12"/>
      <c r="Y245" s="12"/>
      <c r="Z245" s="12"/>
      <c r="AA245" s="12"/>
      <c r="AB245" s="12"/>
      <c r="AC245" s="12"/>
      <c r="AD245" s="17"/>
    </row>
    <row r="246" spans="2:30" s="3" customFormat="1" ht="108" x14ac:dyDescent="0.25">
      <c r="B246" s="10" t="s">
        <v>453</v>
      </c>
      <c r="C246" s="25" t="s">
        <v>451</v>
      </c>
      <c r="D246" s="16"/>
      <c r="E246" s="12"/>
      <c r="F246" s="12"/>
      <c r="G246" s="12" t="str">
        <f>VLOOKUP(B246,'[1]ART 3'!A:E,5,FALSE)</f>
        <v>5 Únicamente: Que tengan, por lo menos, un tablero de partículas.</v>
      </c>
      <c r="H246" s="12"/>
      <c r="I246" s="12"/>
      <c r="J246" s="12"/>
      <c r="K246" s="12"/>
      <c r="L246" s="12"/>
      <c r="M246" s="12"/>
      <c r="N246" s="12"/>
      <c r="O246" s="12"/>
      <c r="P246" s="12"/>
      <c r="Q246" s="12"/>
      <c r="R246" s="12"/>
      <c r="S246" s="12"/>
      <c r="T246" s="12"/>
      <c r="U246" s="12"/>
      <c r="V246" s="12" t="s">
        <v>1613</v>
      </c>
      <c r="W246" s="12"/>
      <c r="X246" s="12"/>
      <c r="Y246" s="12"/>
      <c r="Z246" s="12"/>
      <c r="AA246" s="12"/>
      <c r="AB246" s="12"/>
      <c r="AC246" s="12"/>
      <c r="AD246" s="17"/>
    </row>
    <row r="247" spans="2:30" s="3" customFormat="1" ht="391.5" x14ac:dyDescent="0.25">
      <c r="B247" s="10" t="s">
        <v>454</v>
      </c>
      <c r="C247" s="25" t="s">
        <v>455</v>
      </c>
      <c r="D247" s="16"/>
      <c r="E247" s="12"/>
      <c r="F247" s="12"/>
      <c r="G247" s="12" t="str">
        <f>VLOOKUP(B247,'[1]ART 3'!A:E,5,FALSE)</f>
        <v>5 Únicamente: Que tengan, por lo menos, un tablero de partículas.</v>
      </c>
      <c r="H247" s="12"/>
      <c r="I247" s="12"/>
      <c r="J247" s="12"/>
      <c r="K247" s="12"/>
      <c r="L247" s="12"/>
      <c r="M247" s="12"/>
      <c r="N247" s="12"/>
      <c r="O247" s="12"/>
      <c r="P247" s="12"/>
      <c r="Q247" s="12"/>
      <c r="R247" s="12"/>
      <c r="S247" s="12"/>
      <c r="T247" s="12"/>
      <c r="U247" s="12"/>
      <c r="V247" s="12" t="s">
        <v>1613</v>
      </c>
      <c r="W247" s="12"/>
      <c r="X247" s="12"/>
      <c r="Y247" s="12"/>
      <c r="Z247" s="12"/>
      <c r="AA247" s="12"/>
      <c r="AB247" s="12"/>
      <c r="AC247" s="12"/>
      <c r="AD247" s="17"/>
    </row>
    <row r="248" spans="2:30" s="3" customFormat="1" ht="108" x14ac:dyDescent="0.25">
      <c r="B248" s="10" t="s">
        <v>456</v>
      </c>
      <c r="C248" s="25" t="s">
        <v>457</v>
      </c>
      <c r="D248" s="16"/>
      <c r="E248" s="12"/>
      <c r="F248" s="12"/>
      <c r="G248" s="12" t="str">
        <f>VLOOKUP(B248,'[1]ART 3'!A:E,5,FALSE)</f>
        <v>5 Únicamente: Que tengan, por lo menos, un tablero de partículas.</v>
      </c>
      <c r="H248" s="12"/>
      <c r="I248" s="12"/>
      <c r="J248" s="12"/>
      <c r="K248" s="12"/>
      <c r="L248" s="12"/>
      <c r="M248" s="12"/>
      <c r="N248" s="12"/>
      <c r="O248" s="12"/>
      <c r="P248" s="12"/>
      <c r="Q248" s="12"/>
      <c r="R248" s="12"/>
      <c r="S248" s="12"/>
      <c r="T248" s="12"/>
      <c r="U248" s="12"/>
      <c r="V248" s="12" t="s">
        <v>1613</v>
      </c>
      <c r="W248" s="12"/>
      <c r="X248" s="12"/>
      <c r="Y248" s="12"/>
      <c r="Z248" s="12"/>
      <c r="AA248" s="12"/>
      <c r="AB248" s="12"/>
      <c r="AC248" s="12"/>
      <c r="AD248" s="17"/>
    </row>
    <row r="249" spans="2:30" s="3" customFormat="1" ht="108" x14ac:dyDescent="0.25">
      <c r="B249" s="10" t="s">
        <v>458</v>
      </c>
      <c r="C249" s="25" t="s">
        <v>459</v>
      </c>
      <c r="D249" s="16"/>
      <c r="E249" s="12"/>
      <c r="F249" s="12"/>
      <c r="G249" s="12" t="str">
        <f>VLOOKUP(B249,'[1]ART 3'!A:E,5,FALSE)</f>
        <v>5 Únicamente: Que tengan, por lo menos, un tablero de partículas.</v>
      </c>
      <c r="H249" s="12"/>
      <c r="I249" s="12"/>
      <c r="J249" s="12"/>
      <c r="K249" s="12"/>
      <c r="L249" s="12"/>
      <c r="M249" s="12"/>
      <c r="N249" s="12"/>
      <c r="O249" s="12"/>
      <c r="P249" s="12"/>
      <c r="Q249" s="12"/>
      <c r="R249" s="12"/>
      <c r="S249" s="12"/>
      <c r="T249" s="12"/>
      <c r="U249" s="12"/>
      <c r="V249" s="12" t="s">
        <v>1613</v>
      </c>
      <c r="W249" s="12"/>
      <c r="X249" s="12"/>
      <c r="Y249" s="12"/>
      <c r="Z249" s="12"/>
      <c r="AA249" s="12"/>
      <c r="AB249" s="12"/>
      <c r="AC249" s="12"/>
      <c r="AD249" s="17"/>
    </row>
    <row r="250" spans="2:30" s="3" customFormat="1" ht="108" x14ac:dyDescent="0.25">
      <c r="B250" s="10" t="s">
        <v>460</v>
      </c>
      <c r="C250" s="25" t="s">
        <v>451</v>
      </c>
      <c r="D250" s="16"/>
      <c r="E250" s="12"/>
      <c r="F250" s="12"/>
      <c r="G250" s="12" t="str">
        <f>VLOOKUP(B250,'[1]ART 3'!A:E,5,FALSE)</f>
        <v>5 Únicamente: Que tengan, por lo menos, un tablero de partículas.</v>
      </c>
      <c r="H250" s="12"/>
      <c r="I250" s="12"/>
      <c r="J250" s="12"/>
      <c r="K250" s="12"/>
      <c r="L250" s="12"/>
      <c r="M250" s="12"/>
      <c r="N250" s="12"/>
      <c r="O250" s="12"/>
      <c r="P250" s="12"/>
      <c r="Q250" s="12"/>
      <c r="R250" s="12"/>
      <c r="S250" s="12"/>
      <c r="T250" s="12"/>
      <c r="U250" s="12"/>
      <c r="V250" s="12" t="s">
        <v>1613</v>
      </c>
      <c r="W250" s="12"/>
      <c r="X250" s="12"/>
      <c r="Y250" s="12"/>
      <c r="Z250" s="12"/>
      <c r="AA250" s="12"/>
      <c r="AB250" s="12"/>
      <c r="AC250" s="12"/>
      <c r="AD250" s="17"/>
    </row>
    <row r="251" spans="2:30" s="3" customFormat="1" ht="108" x14ac:dyDescent="0.25">
      <c r="B251" s="10" t="s">
        <v>461</v>
      </c>
      <c r="C251" s="25" t="s">
        <v>451</v>
      </c>
      <c r="D251" s="16"/>
      <c r="E251" s="12"/>
      <c r="F251" s="12"/>
      <c r="G251" s="12" t="str">
        <f>VLOOKUP(B251,'[1]ART 3'!A:E,5,FALSE)</f>
        <v>5 Únicamente: Que tengan, por lo menos, un tablero de partículas.</v>
      </c>
      <c r="H251" s="12"/>
      <c r="I251" s="12"/>
      <c r="J251" s="12"/>
      <c r="K251" s="12"/>
      <c r="L251" s="12"/>
      <c r="M251" s="12"/>
      <c r="N251" s="12"/>
      <c r="O251" s="12"/>
      <c r="P251" s="12"/>
      <c r="Q251" s="12"/>
      <c r="R251" s="12"/>
      <c r="S251" s="12"/>
      <c r="T251" s="12"/>
      <c r="U251" s="12"/>
      <c r="V251" s="12" t="s">
        <v>1613</v>
      </c>
      <c r="W251" s="12"/>
      <c r="X251" s="12"/>
      <c r="Y251" s="12"/>
      <c r="Z251" s="12"/>
      <c r="AA251" s="12"/>
      <c r="AB251" s="12"/>
      <c r="AC251" s="12"/>
      <c r="AD251" s="17"/>
    </row>
    <row r="252" spans="2:30" s="3" customFormat="1" ht="108" x14ac:dyDescent="0.25">
      <c r="B252" s="10" t="s">
        <v>462</v>
      </c>
      <c r="C252" s="25" t="s">
        <v>451</v>
      </c>
      <c r="D252" s="16"/>
      <c r="E252" s="12"/>
      <c r="F252" s="12"/>
      <c r="G252" s="12" t="str">
        <f>VLOOKUP(B252,'[1]ART 3'!A:E,5,FALSE)</f>
        <v>5 Únicamente: Que tengan, por lo menos, un tablero de partículas.</v>
      </c>
      <c r="H252" s="12"/>
      <c r="I252" s="12"/>
      <c r="J252" s="12"/>
      <c r="K252" s="12"/>
      <c r="L252" s="12"/>
      <c r="M252" s="12"/>
      <c r="N252" s="12"/>
      <c r="O252" s="12"/>
      <c r="P252" s="12"/>
      <c r="Q252" s="12"/>
      <c r="R252" s="12"/>
      <c r="S252" s="12"/>
      <c r="T252" s="12"/>
      <c r="U252" s="12"/>
      <c r="V252" s="12" t="s">
        <v>1613</v>
      </c>
      <c r="W252" s="12"/>
      <c r="X252" s="12"/>
      <c r="Y252" s="12"/>
      <c r="Z252" s="12"/>
      <c r="AA252" s="12"/>
      <c r="AB252" s="12"/>
      <c r="AC252" s="12"/>
      <c r="AD252" s="17"/>
    </row>
    <row r="253" spans="2:30" s="3" customFormat="1" ht="13.5" x14ac:dyDescent="0.25">
      <c r="B253" s="10" t="s">
        <v>463</v>
      </c>
      <c r="C253" s="25" t="s">
        <v>53</v>
      </c>
      <c r="D253" s="16"/>
      <c r="E253" s="12"/>
      <c r="F253" s="12"/>
      <c r="G253" s="12" t="str">
        <f>VLOOKUP(B253,'[1]ART 3'!A:E,5,FALSE)</f>
        <v xml:space="preserve">Ex. </v>
      </c>
      <c r="H253" s="12"/>
      <c r="I253" s="12"/>
      <c r="J253" s="12"/>
      <c r="K253" s="12"/>
      <c r="L253" s="12"/>
      <c r="M253" s="12"/>
      <c r="N253" s="12"/>
      <c r="O253" s="12"/>
      <c r="P253" s="12"/>
      <c r="Q253" s="12"/>
      <c r="R253" s="12"/>
      <c r="S253" s="12"/>
      <c r="T253" s="12"/>
      <c r="U253" s="12"/>
      <c r="V253" s="12"/>
      <c r="W253" s="12"/>
      <c r="X253" s="12"/>
      <c r="Y253" s="12"/>
      <c r="Z253" s="12"/>
      <c r="AA253" s="12"/>
      <c r="AB253" s="12"/>
      <c r="AC253" s="12"/>
      <c r="AD253" s="17"/>
    </row>
    <row r="254" spans="2:30" s="3" customFormat="1" ht="54" x14ac:dyDescent="0.25">
      <c r="B254" s="10" t="s">
        <v>464</v>
      </c>
      <c r="C254" s="25" t="s">
        <v>465</v>
      </c>
      <c r="D254" s="16" t="str">
        <f>VLOOKUP(B254,'[1]ART 1'!A:E,5,FALSE)</f>
        <v>5Excepto: Collarines para paletas.</v>
      </c>
      <c r="E254" s="12"/>
      <c r="F254" s="12" t="str">
        <f>VLOOKUP(B254,'[1]ART 2 B)'!A:E,5,FALSE)</f>
        <v>Ex. Excepto: Collarines para paletas.</v>
      </c>
      <c r="G254" s="12"/>
      <c r="H254" s="12"/>
      <c r="I254" s="12"/>
      <c r="J254" s="12"/>
      <c r="K254" s="12"/>
      <c r="L254" s="12" t="str">
        <f>VLOOKUP(B254,'[1]ART 8'!A:E,5,FALSE)</f>
        <v>Ex. Excepto: Collarines para paletas.</v>
      </c>
      <c r="M254" s="12"/>
      <c r="N254" s="12"/>
      <c r="O254" s="12"/>
      <c r="P254" s="12"/>
      <c r="Q254" s="12"/>
      <c r="R254" s="12"/>
      <c r="S254" s="12"/>
      <c r="T254" s="12"/>
      <c r="U254" s="12"/>
      <c r="V254" s="12"/>
      <c r="W254" s="12"/>
      <c r="X254" s="12"/>
      <c r="Y254" s="12"/>
      <c r="Z254" s="12"/>
      <c r="AA254" s="12"/>
      <c r="AB254" s="12"/>
      <c r="AC254" s="12"/>
      <c r="AD254" s="17"/>
    </row>
    <row r="255" spans="2:30" s="3" customFormat="1" ht="13.5" x14ac:dyDescent="0.25">
      <c r="B255" s="10" t="s">
        <v>466</v>
      </c>
      <c r="C255" s="25" t="s">
        <v>53</v>
      </c>
      <c r="D255" s="16"/>
      <c r="E255" s="12"/>
      <c r="F255" s="12"/>
      <c r="G255" s="12" t="str">
        <f>VLOOKUP(B255,'[1]ART 3'!A:E,5,FALSE)</f>
        <v xml:space="preserve">Ex. </v>
      </c>
      <c r="H255" s="12"/>
      <c r="I255" s="12" t="str">
        <f>VLOOKUP(B255,'[1]ART 5'!A:E,5,FALSE)</f>
        <v xml:space="preserve">Ex. </v>
      </c>
      <c r="J255" s="12"/>
      <c r="K255" s="12"/>
      <c r="L255" s="12"/>
      <c r="M255" s="12"/>
      <c r="N255" s="12" t="s">
        <v>1562</v>
      </c>
      <c r="O255" s="12"/>
      <c r="P255" s="12"/>
      <c r="Q255" s="12"/>
      <c r="R255" s="12"/>
      <c r="S255" s="12"/>
      <c r="T255" s="12"/>
      <c r="U255" s="12"/>
      <c r="V255" s="12"/>
      <c r="W255" s="12"/>
      <c r="X255" s="12"/>
      <c r="Y255" s="12"/>
      <c r="Z255" s="12"/>
      <c r="AA255" s="12"/>
      <c r="AB255" s="12"/>
      <c r="AC255" s="12"/>
      <c r="AD255" s="17"/>
    </row>
    <row r="256" spans="2:30" s="3" customFormat="1" ht="13.5" x14ac:dyDescent="0.25">
      <c r="B256" s="10" t="s">
        <v>467</v>
      </c>
      <c r="C256" s="25" t="s">
        <v>53</v>
      </c>
      <c r="D256" s="16"/>
      <c r="E256" s="12"/>
      <c r="F256" s="12"/>
      <c r="G256" s="12" t="str">
        <f>VLOOKUP(B256,'[1]ART 3'!A:E,5,FALSE)</f>
        <v xml:space="preserve">Ex. </v>
      </c>
      <c r="H256" s="12"/>
      <c r="I256" s="12"/>
      <c r="J256" s="12"/>
      <c r="K256" s="12"/>
      <c r="L256" s="12"/>
      <c r="M256" s="12"/>
      <c r="N256" s="12"/>
      <c r="O256" s="12"/>
      <c r="P256" s="12"/>
      <c r="Q256" s="12"/>
      <c r="R256" s="12"/>
      <c r="S256" s="12"/>
      <c r="T256" s="12"/>
      <c r="U256" s="12"/>
      <c r="V256" s="12"/>
      <c r="W256" s="12"/>
      <c r="X256" s="12"/>
      <c r="Y256" s="12"/>
      <c r="Z256" s="12"/>
      <c r="AA256" s="12"/>
      <c r="AB256" s="12"/>
      <c r="AC256" s="12"/>
      <c r="AD256" s="17"/>
    </row>
    <row r="257" spans="2:30" s="3" customFormat="1" ht="13.5" x14ac:dyDescent="0.25">
      <c r="B257" s="10" t="s">
        <v>468</v>
      </c>
      <c r="C257" s="25" t="s">
        <v>53</v>
      </c>
      <c r="D257" s="16"/>
      <c r="E257" s="12"/>
      <c r="F257" s="12"/>
      <c r="G257" s="12" t="str">
        <f>VLOOKUP(B257,'[1]ART 3'!A:E,5,FALSE)</f>
        <v xml:space="preserve">Ex. </v>
      </c>
      <c r="H257" s="12"/>
      <c r="I257" s="12"/>
      <c r="J257" s="12"/>
      <c r="K257" s="12"/>
      <c r="L257" s="12"/>
      <c r="M257" s="12"/>
      <c r="N257" s="12"/>
      <c r="O257" s="12"/>
      <c r="P257" s="12"/>
      <c r="Q257" s="12"/>
      <c r="R257" s="12"/>
      <c r="S257" s="12"/>
      <c r="T257" s="12"/>
      <c r="U257" s="12"/>
      <c r="V257" s="12"/>
      <c r="W257" s="12"/>
      <c r="X257" s="12"/>
      <c r="Y257" s="12"/>
      <c r="Z257" s="12"/>
      <c r="AA257" s="12"/>
      <c r="AB257" s="12"/>
      <c r="AC257" s="12"/>
      <c r="AD257" s="17"/>
    </row>
    <row r="258" spans="2:30" s="3" customFormat="1" ht="13.5" x14ac:dyDescent="0.25">
      <c r="B258" s="10" t="s">
        <v>469</v>
      </c>
      <c r="C258" s="25" t="s">
        <v>53</v>
      </c>
      <c r="D258" s="16"/>
      <c r="E258" s="12"/>
      <c r="F258" s="12"/>
      <c r="G258" s="12" t="str">
        <f>VLOOKUP(B258,'[1]ART 3'!A:E,5,FALSE)</f>
        <v xml:space="preserve">Ex. </v>
      </c>
      <c r="H258" s="12"/>
      <c r="I258" s="12"/>
      <c r="J258" s="12"/>
      <c r="K258" s="12"/>
      <c r="L258" s="12"/>
      <c r="M258" s="12"/>
      <c r="N258" s="12"/>
      <c r="O258" s="12"/>
      <c r="P258" s="12"/>
      <c r="Q258" s="12"/>
      <c r="R258" s="12"/>
      <c r="S258" s="12"/>
      <c r="T258" s="12"/>
      <c r="U258" s="12"/>
      <c r="V258" s="12"/>
      <c r="W258" s="12"/>
      <c r="X258" s="12"/>
      <c r="Y258" s="12"/>
      <c r="Z258" s="12"/>
      <c r="AA258" s="12"/>
      <c r="AB258" s="12"/>
      <c r="AC258" s="12"/>
      <c r="AD258" s="17"/>
    </row>
    <row r="259" spans="2:30" s="3" customFormat="1" ht="13.5" x14ac:dyDescent="0.25">
      <c r="B259" s="10" t="s">
        <v>470</v>
      </c>
      <c r="C259" s="25" t="s">
        <v>471</v>
      </c>
      <c r="D259" s="16"/>
      <c r="E259" s="12"/>
      <c r="F259" s="12"/>
      <c r="G259" s="12" t="str">
        <f>VLOOKUP(B259,'[1]ART 3'!A:E,5,FALSE)</f>
        <v xml:space="preserve">Ex. </v>
      </c>
      <c r="H259" s="12"/>
      <c r="I259" s="12"/>
      <c r="J259" s="12"/>
      <c r="K259" s="12"/>
      <c r="L259" s="12"/>
      <c r="M259" s="12"/>
      <c r="N259" s="12"/>
      <c r="O259" s="12"/>
      <c r="P259" s="12"/>
      <c r="Q259" s="12"/>
      <c r="R259" s="12"/>
      <c r="S259" s="12"/>
      <c r="T259" s="12"/>
      <c r="U259" s="12"/>
      <c r="V259" s="12"/>
      <c r="W259" s="12"/>
      <c r="X259" s="12"/>
      <c r="Y259" s="12"/>
      <c r="Z259" s="12"/>
      <c r="AA259" s="12"/>
      <c r="AB259" s="12"/>
      <c r="AC259" s="12"/>
      <c r="AD259" s="17"/>
    </row>
    <row r="260" spans="2:30" s="3" customFormat="1" ht="27" x14ac:dyDescent="0.25">
      <c r="B260" s="10" t="s">
        <v>472</v>
      </c>
      <c r="C260" s="25" t="s">
        <v>473</v>
      </c>
      <c r="D260" s="16" t="str">
        <f>VLOOKUP(B260,'[1]ART 1'!A:E,5,FALSE)</f>
        <v>5Excepto: Adoquines.</v>
      </c>
      <c r="E260" s="12" t="str">
        <f>VLOOKUP(B260,'[1]ART 2 A)'!A:E,5,FALSE)</f>
        <v>Ex.Excepto: Adoquines.</v>
      </c>
      <c r="F260" s="12"/>
      <c r="G260" s="12" t="str">
        <f>VLOOKUP(B260,'[1]ART 3'!A:E,5,FALSE)</f>
        <v>Ex. Excepto: Adoquines.</v>
      </c>
      <c r="H260" s="12" t="str">
        <f>VLOOKUP(B260,'[1]ART IV'!A:E,5,FALSE)</f>
        <v>Ex. Excepto: Adoquines.</v>
      </c>
      <c r="I260" s="12"/>
      <c r="J260" s="12"/>
      <c r="K260" s="12"/>
      <c r="L260" s="12"/>
      <c r="M260" s="12"/>
      <c r="N260" s="12"/>
      <c r="O260" s="12"/>
      <c r="P260" s="12"/>
      <c r="Q260" s="12"/>
      <c r="R260" s="12"/>
      <c r="S260" s="12"/>
      <c r="T260" s="12"/>
      <c r="U260" s="12"/>
      <c r="V260" s="12"/>
      <c r="W260" s="12"/>
      <c r="X260" s="12" t="s">
        <v>1614</v>
      </c>
      <c r="Y260" s="12"/>
      <c r="Z260" s="12"/>
      <c r="AA260" s="12"/>
      <c r="AB260" s="12"/>
      <c r="AC260" s="12"/>
      <c r="AD260" s="17"/>
    </row>
    <row r="261" spans="2:30" s="3" customFormat="1" ht="13.5" x14ac:dyDescent="0.25">
      <c r="B261" s="10" t="s">
        <v>474</v>
      </c>
      <c r="C261" s="25" t="s">
        <v>471</v>
      </c>
      <c r="D261" s="16"/>
      <c r="E261" s="12"/>
      <c r="F261" s="12"/>
      <c r="G261" s="12" t="str">
        <f>VLOOKUP(B261,'[1]ART 3'!A:E,5,FALSE)</f>
        <v xml:space="preserve">Ex. </v>
      </c>
      <c r="H261" s="12"/>
      <c r="I261" s="12"/>
      <c r="J261" s="12"/>
      <c r="K261" s="12"/>
      <c r="L261" s="12"/>
      <c r="M261" s="12"/>
      <c r="N261" s="12"/>
      <c r="O261" s="12"/>
      <c r="P261" s="12"/>
      <c r="Q261" s="12"/>
      <c r="R261" s="12"/>
      <c r="S261" s="12"/>
      <c r="T261" s="12"/>
      <c r="U261" s="12"/>
      <c r="V261" s="12"/>
      <c r="W261" s="12"/>
      <c r="X261" s="12"/>
      <c r="Y261" s="12"/>
      <c r="Z261" s="12"/>
      <c r="AA261" s="12"/>
      <c r="AB261" s="12"/>
      <c r="AC261" s="12"/>
      <c r="AD261" s="17"/>
    </row>
    <row r="262" spans="2:30" s="3" customFormat="1" ht="27" x14ac:dyDescent="0.25">
      <c r="B262" s="10" t="s">
        <v>475</v>
      </c>
      <c r="C262" s="25" t="s">
        <v>473</v>
      </c>
      <c r="D262" s="16" t="str">
        <f>VLOOKUP(B262,'[1]ART 1'!A:E,5,FALSE)</f>
        <v>5Excepto: Adoquines.</v>
      </c>
      <c r="E262" s="12" t="str">
        <f>VLOOKUP(B262,'[1]ART 2 A)'!A:E,5,FALSE)</f>
        <v>Ex.Excepto: Adoquines.</v>
      </c>
      <c r="F262" s="12"/>
      <c r="G262" s="12" t="str">
        <f>VLOOKUP(B262,'[1]ART 3'!A:E,5,FALSE)</f>
        <v>Ex. Excepto: Adoquines.</v>
      </c>
      <c r="H262" s="12" t="str">
        <f>VLOOKUP(B262,'[1]ART IV'!A:E,5,FALSE)</f>
        <v>Ex. Excepto: Adoquines.</v>
      </c>
      <c r="I262" s="12"/>
      <c r="J262" s="12"/>
      <c r="K262" s="12"/>
      <c r="L262" s="12"/>
      <c r="M262" s="12"/>
      <c r="N262" s="12"/>
      <c r="O262" s="12"/>
      <c r="P262" s="12"/>
      <c r="Q262" s="12"/>
      <c r="R262" s="12"/>
      <c r="S262" s="12"/>
      <c r="T262" s="12"/>
      <c r="U262" s="12"/>
      <c r="V262" s="12"/>
      <c r="W262" s="12"/>
      <c r="X262" s="12" t="s">
        <v>1614</v>
      </c>
      <c r="Y262" s="12"/>
      <c r="Z262" s="12"/>
      <c r="AA262" s="12"/>
      <c r="AB262" s="12"/>
      <c r="AC262" s="12"/>
      <c r="AD262" s="17"/>
    </row>
    <row r="263" spans="2:30" s="3" customFormat="1" ht="13.5" x14ac:dyDescent="0.25">
      <c r="B263" s="10" t="s">
        <v>476</v>
      </c>
      <c r="C263" s="25" t="s">
        <v>477</v>
      </c>
      <c r="D263" s="16"/>
      <c r="E263" s="12"/>
      <c r="F263" s="12"/>
      <c r="G263" s="12" t="str">
        <f>VLOOKUP(B263,'[1]ART 3'!A:E,5,FALSE)</f>
        <v xml:space="preserve">Ex. </v>
      </c>
      <c r="H263" s="12"/>
      <c r="I263" s="12"/>
      <c r="J263" s="12"/>
      <c r="K263" s="12"/>
      <c r="L263" s="12"/>
      <c r="M263" s="12"/>
      <c r="N263" s="12"/>
      <c r="O263" s="12"/>
      <c r="P263" s="12"/>
      <c r="Q263" s="12"/>
      <c r="R263" s="12"/>
      <c r="S263" s="12"/>
      <c r="T263" s="12"/>
      <c r="U263" s="12"/>
      <c r="V263" s="12"/>
      <c r="W263" s="12"/>
      <c r="X263" s="12"/>
      <c r="Y263" s="12"/>
      <c r="Z263" s="12"/>
      <c r="AA263" s="12"/>
      <c r="AB263" s="12"/>
      <c r="AC263" s="12"/>
      <c r="AD263" s="17"/>
    </row>
    <row r="264" spans="2:30" s="3" customFormat="1" ht="13.5" x14ac:dyDescent="0.25">
      <c r="B264" s="10" t="s">
        <v>478</v>
      </c>
      <c r="C264" s="25" t="s">
        <v>53</v>
      </c>
      <c r="D264" s="16"/>
      <c r="E264" s="12"/>
      <c r="F264" s="12"/>
      <c r="G264" s="12" t="str">
        <f>VLOOKUP(B264,'[1]ART 3'!A:E,5,FALSE)</f>
        <v xml:space="preserve">Ex. </v>
      </c>
      <c r="H264" s="12"/>
      <c r="I264" s="12"/>
      <c r="J264" s="12"/>
      <c r="K264" s="12"/>
      <c r="L264" s="12"/>
      <c r="M264" s="12"/>
      <c r="N264" s="12"/>
      <c r="O264" s="12"/>
      <c r="P264" s="12"/>
      <c r="Q264" s="12"/>
      <c r="R264" s="12"/>
      <c r="S264" s="12"/>
      <c r="T264" s="12"/>
      <c r="U264" s="12"/>
      <c r="V264" s="12"/>
      <c r="W264" s="12"/>
      <c r="X264" s="12"/>
      <c r="Y264" s="12"/>
      <c r="Z264" s="12"/>
      <c r="AA264" s="12"/>
      <c r="AB264" s="12"/>
      <c r="AC264" s="12"/>
      <c r="AD264" s="17"/>
    </row>
    <row r="265" spans="2:30" s="3" customFormat="1" ht="13.5" x14ac:dyDescent="0.25">
      <c r="B265" s="10" t="s">
        <v>479</v>
      </c>
      <c r="C265" s="25" t="s">
        <v>434</v>
      </c>
      <c r="D265" s="16"/>
      <c r="E265" s="12"/>
      <c r="F265" s="12"/>
      <c r="G265" s="12"/>
      <c r="H265" s="12" t="str">
        <f>VLOOKUP(B265,'[1]ART IV'!A:E,5,FALSE)</f>
        <v xml:space="preserve">Ex. </v>
      </c>
      <c r="I265" s="12"/>
      <c r="J265" s="12"/>
      <c r="K265" s="12"/>
      <c r="L265" s="12"/>
      <c r="M265" s="12"/>
      <c r="N265" s="12"/>
      <c r="O265" s="12"/>
      <c r="P265" s="12"/>
      <c r="Q265" s="12"/>
      <c r="R265" s="12"/>
      <c r="S265" s="12"/>
      <c r="T265" s="12"/>
      <c r="U265" s="12"/>
      <c r="V265" s="12"/>
      <c r="W265" s="12"/>
      <c r="X265" s="12"/>
      <c r="Y265" s="12"/>
      <c r="Z265" s="12"/>
      <c r="AA265" s="12"/>
      <c r="AB265" s="12"/>
      <c r="AC265" s="12"/>
      <c r="AD265" s="17"/>
    </row>
    <row r="266" spans="2:30" s="3" customFormat="1" ht="13.5" x14ac:dyDescent="0.25">
      <c r="B266" s="10" t="s">
        <v>480</v>
      </c>
      <c r="C266" s="25" t="s">
        <v>53</v>
      </c>
      <c r="D266" s="16"/>
      <c r="E266" s="12"/>
      <c r="F266" s="12"/>
      <c r="G266" s="12"/>
      <c r="H266" s="12" t="str">
        <f>VLOOKUP(B266,'[1]ART IV'!A:E,5,FALSE)</f>
        <v xml:space="preserve">Ex. </v>
      </c>
      <c r="I266" s="12"/>
      <c r="J266" s="12"/>
      <c r="K266" s="12"/>
      <c r="L266" s="12"/>
      <c r="M266" s="12"/>
      <c r="N266" s="12"/>
      <c r="O266" s="12"/>
      <c r="P266" s="12"/>
      <c r="Q266" s="12"/>
      <c r="R266" s="12"/>
      <c r="S266" s="12"/>
      <c r="T266" s="12"/>
      <c r="U266" s="12"/>
      <c r="V266" s="12"/>
      <c r="W266" s="12"/>
      <c r="X266" s="12"/>
      <c r="Y266" s="12"/>
      <c r="Z266" s="12"/>
      <c r="AA266" s="12"/>
      <c r="AB266" s="12"/>
      <c r="AC266" s="12"/>
      <c r="AD266" s="17"/>
    </row>
    <row r="267" spans="2:30" s="3" customFormat="1" ht="409.5" x14ac:dyDescent="0.25">
      <c r="B267" s="10" t="s">
        <v>481</v>
      </c>
      <c r="C267" s="25" t="s">
        <v>482</v>
      </c>
      <c r="D267" s="16"/>
      <c r="E267" s="12"/>
      <c r="F267" s="12"/>
      <c r="G267" s="12"/>
      <c r="H267" s="12"/>
      <c r="I267" s="12"/>
      <c r="J267" s="12"/>
      <c r="K267" s="12"/>
      <c r="L267" s="12"/>
      <c r="M267" s="12"/>
      <c r="N267" s="12" t="s">
        <v>1615</v>
      </c>
      <c r="O267" s="12"/>
      <c r="P267" s="12"/>
      <c r="Q267" s="12"/>
      <c r="R267" s="12" t="s">
        <v>1616</v>
      </c>
      <c r="S267" s="12"/>
      <c r="T267" s="12"/>
      <c r="U267" s="12"/>
      <c r="V267" s="12"/>
      <c r="W267" s="12"/>
      <c r="X267" s="12"/>
      <c r="Y267" s="12"/>
      <c r="Z267" s="12"/>
      <c r="AA267" s="12"/>
      <c r="AB267" s="12"/>
      <c r="AC267" s="12"/>
      <c r="AD267" s="17"/>
    </row>
    <row r="268" spans="2:30" s="3" customFormat="1" ht="13.5" x14ac:dyDescent="0.25">
      <c r="B268" s="10" t="s">
        <v>483</v>
      </c>
      <c r="C268" s="25" t="s">
        <v>53</v>
      </c>
      <c r="D268" s="16"/>
      <c r="E268" s="12"/>
      <c r="F268" s="12"/>
      <c r="G268" s="12"/>
      <c r="H268" s="12"/>
      <c r="I268" s="12"/>
      <c r="J268" s="12"/>
      <c r="K268" s="12" t="str">
        <f>VLOOKUP(B268,'[1]ART 7'!A:E,5,FALSE)</f>
        <v xml:space="preserve">5 </v>
      </c>
      <c r="L268" s="12"/>
      <c r="M268" s="12"/>
      <c r="N268" s="12"/>
      <c r="O268" s="12"/>
      <c r="P268" s="12"/>
      <c r="Q268" s="12"/>
      <c r="R268" s="12"/>
      <c r="S268" s="12"/>
      <c r="T268" s="12"/>
      <c r="U268" s="12"/>
      <c r="V268" s="12"/>
      <c r="W268" s="12"/>
      <c r="X268" s="12"/>
      <c r="Y268" s="12"/>
      <c r="Z268" s="12"/>
      <c r="AA268" s="12"/>
      <c r="AB268" s="12"/>
      <c r="AC268" s="12"/>
      <c r="AD268" s="17"/>
    </row>
    <row r="269" spans="2:30" s="3" customFormat="1" ht="13.5" x14ac:dyDescent="0.25">
      <c r="B269" s="10" t="s">
        <v>484</v>
      </c>
      <c r="C269" s="25" t="s">
        <v>485</v>
      </c>
      <c r="D269" s="16"/>
      <c r="E269" s="12"/>
      <c r="F269" s="12"/>
      <c r="G269" s="12"/>
      <c r="H269" s="12"/>
      <c r="I269" s="12"/>
      <c r="J269" s="12"/>
      <c r="K269" s="12"/>
      <c r="L269" s="12"/>
      <c r="M269" s="12"/>
      <c r="N269" s="12"/>
      <c r="O269" s="12"/>
      <c r="P269" s="12"/>
      <c r="Q269" s="12"/>
      <c r="R269" s="12"/>
      <c r="S269" s="12"/>
      <c r="T269" s="12"/>
      <c r="U269" s="12"/>
      <c r="V269" s="12"/>
      <c r="W269" s="12"/>
      <c r="X269" s="12"/>
      <c r="Y269" s="12" t="s">
        <v>1570</v>
      </c>
      <c r="Z269" s="12"/>
      <c r="AA269" s="12"/>
      <c r="AB269" s="12"/>
      <c r="AC269" s="12"/>
      <c r="AD269" s="17"/>
    </row>
    <row r="270" spans="2:30" s="3" customFormat="1" ht="175.5" x14ac:dyDescent="0.25">
      <c r="B270" s="10" t="s">
        <v>486</v>
      </c>
      <c r="C270" s="25" t="s">
        <v>487</v>
      </c>
      <c r="D270" s="16"/>
      <c r="E270" s="12"/>
      <c r="F270" s="12"/>
      <c r="G270" s="12"/>
      <c r="H270" s="12"/>
      <c r="I270" s="12"/>
      <c r="J270" s="12"/>
      <c r="K270" s="12"/>
      <c r="L270" s="12"/>
      <c r="M270" s="12" t="str">
        <f>VLOOKUP(B270,'[1]ART 9'!A:E,5,FALSE)</f>
        <v xml:space="preserve">Ex. </v>
      </c>
      <c r="N270" s="12"/>
      <c r="O270" s="12"/>
      <c r="P270" s="12"/>
      <c r="Q270" s="12"/>
      <c r="R270" s="12"/>
      <c r="S270" s="12"/>
      <c r="T270" s="12"/>
      <c r="U270" s="12"/>
      <c r="V270" s="12"/>
      <c r="W270" s="12"/>
      <c r="X270" s="12"/>
      <c r="Y270" s="12" t="s">
        <v>1617</v>
      </c>
      <c r="Z270" s="12"/>
      <c r="AA270" s="12"/>
      <c r="AB270" s="12"/>
      <c r="AC270" s="12"/>
      <c r="AD270" s="17"/>
    </row>
    <row r="271" spans="2:30" s="3" customFormat="1" ht="67.5" x14ac:dyDescent="0.25">
      <c r="B271" s="21" t="s">
        <v>488</v>
      </c>
      <c r="C271" s="25" t="s">
        <v>489</v>
      </c>
      <c r="D271" s="16"/>
      <c r="E271" s="12"/>
      <c r="F271" s="12"/>
      <c r="G271" s="12"/>
      <c r="H271" s="12"/>
      <c r="I271" s="12"/>
      <c r="J271" s="12"/>
      <c r="K271" s="12"/>
      <c r="L271" s="12"/>
      <c r="M271" s="12"/>
      <c r="N271" s="12"/>
      <c r="O271" s="12"/>
      <c r="P271" s="12"/>
      <c r="Q271" s="12"/>
      <c r="R271" s="12"/>
      <c r="S271" s="12"/>
      <c r="T271" s="12"/>
      <c r="U271" s="12"/>
      <c r="V271" s="12"/>
      <c r="W271" s="12"/>
      <c r="X271" s="12"/>
      <c r="Y271" s="12" t="s">
        <v>1562</v>
      </c>
      <c r="Z271" s="12"/>
      <c r="AA271" s="12"/>
      <c r="AB271" s="12"/>
      <c r="AC271" s="12"/>
      <c r="AD271" s="17"/>
    </row>
    <row r="272" spans="2:30" s="3" customFormat="1" ht="13.5" x14ac:dyDescent="0.25">
      <c r="B272" s="21" t="s">
        <v>490</v>
      </c>
      <c r="C272" s="25" t="s">
        <v>491</v>
      </c>
      <c r="D272" s="16"/>
      <c r="E272" s="12"/>
      <c r="F272" s="12"/>
      <c r="G272" s="12"/>
      <c r="H272" s="12"/>
      <c r="I272" s="12"/>
      <c r="J272" s="12"/>
      <c r="K272" s="12"/>
      <c r="L272" s="12"/>
      <c r="M272" s="12"/>
      <c r="N272" s="12"/>
      <c r="O272" s="12"/>
      <c r="P272" s="12"/>
      <c r="Q272" s="12"/>
      <c r="R272" s="12"/>
      <c r="S272" s="12"/>
      <c r="T272" s="12"/>
      <c r="U272" s="12"/>
      <c r="V272" s="12"/>
      <c r="W272" s="12"/>
      <c r="X272" s="12"/>
      <c r="Y272" s="12" t="s">
        <v>1562</v>
      </c>
      <c r="Z272" s="12"/>
      <c r="AA272" s="12"/>
      <c r="AB272" s="12"/>
      <c r="AC272" s="12"/>
      <c r="AD272" s="17"/>
    </row>
    <row r="273" spans="2:30" s="3" customFormat="1" ht="27" x14ac:dyDescent="0.25">
      <c r="B273" s="10" t="s">
        <v>492</v>
      </c>
      <c r="C273" s="25" t="s">
        <v>493</v>
      </c>
      <c r="D273" s="16"/>
      <c r="E273" s="12"/>
      <c r="F273" s="12"/>
      <c r="G273" s="12"/>
      <c r="H273" s="12"/>
      <c r="I273" s="12"/>
      <c r="J273" s="12"/>
      <c r="K273" s="12"/>
      <c r="L273" s="12"/>
      <c r="M273" s="12"/>
      <c r="N273" s="12"/>
      <c r="O273" s="12"/>
      <c r="P273" s="12"/>
      <c r="Q273" s="12"/>
      <c r="R273" s="12"/>
      <c r="S273" s="12"/>
      <c r="T273" s="12"/>
      <c r="U273" s="12"/>
      <c r="V273" s="12"/>
      <c r="W273" s="12"/>
      <c r="X273" s="12"/>
      <c r="Y273" s="12"/>
      <c r="Z273" s="12" t="s">
        <v>1562</v>
      </c>
      <c r="AA273" s="12"/>
      <c r="AB273" s="12"/>
      <c r="AC273" s="12"/>
      <c r="AD273" s="17"/>
    </row>
    <row r="274" spans="2:30" s="3" customFormat="1" ht="54" x14ac:dyDescent="0.25">
      <c r="B274" s="10" t="s">
        <v>494</v>
      </c>
      <c r="C274" s="25" t="s">
        <v>491</v>
      </c>
      <c r="D274" s="16"/>
      <c r="E274" s="12"/>
      <c r="F274" s="12"/>
      <c r="G274" s="12"/>
      <c r="H274" s="12"/>
      <c r="I274" s="12"/>
      <c r="J274" s="12"/>
      <c r="K274" s="12"/>
      <c r="L274" s="12"/>
      <c r="M274" s="12"/>
      <c r="N274" s="12"/>
      <c r="O274" s="12"/>
      <c r="P274" s="12"/>
      <c r="Q274" s="12"/>
      <c r="R274" s="12"/>
      <c r="S274" s="12"/>
      <c r="T274" s="12"/>
      <c r="U274" s="12"/>
      <c r="V274" s="12"/>
      <c r="W274" s="12"/>
      <c r="X274" s="12"/>
      <c r="Y274" s="12"/>
      <c r="Z274" s="12" t="s">
        <v>1618</v>
      </c>
      <c r="AA274" s="12"/>
      <c r="AB274" s="12"/>
      <c r="AC274" s="12"/>
      <c r="AD274" s="17"/>
    </row>
    <row r="275" spans="2:30" s="3" customFormat="1" ht="27" x14ac:dyDescent="0.25">
      <c r="B275" s="10" t="s">
        <v>495</v>
      </c>
      <c r="C275" s="25" t="s">
        <v>496</v>
      </c>
      <c r="D275" s="16"/>
      <c r="E275" s="12"/>
      <c r="F275" s="12"/>
      <c r="G275" s="12"/>
      <c r="H275" s="12"/>
      <c r="I275" s="12"/>
      <c r="J275" s="12"/>
      <c r="K275" s="12"/>
      <c r="L275" s="12"/>
      <c r="M275" s="12"/>
      <c r="N275" s="12"/>
      <c r="O275" s="12"/>
      <c r="P275" s="12"/>
      <c r="Q275" s="12"/>
      <c r="R275" s="12"/>
      <c r="S275" s="12"/>
      <c r="T275" s="12"/>
      <c r="U275" s="12"/>
      <c r="V275" s="12"/>
      <c r="W275" s="12"/>
      <c r="X275" s="12"/>
      <c r="Y275" s="12"/>
      <c r="Z275" s="12" t="s">
        <v>1562</v>
      </c>
      <c r="AA275" s="12"/>
      <c r="AB275" s="12"/>
      <c r="AC275" s="12"/>
      <c r="AD275" s="17"/>
    </row>
    <row r="276" spans="2:30" s="3" customFormat="1" ht="27" x14ac:dyDescent="0.25">
      <c r="B276" s="10" t="s">
        <v>497</v>
      </c>
      <c r="C276" s="25" t="s">
        <v>493</v>
      </c>
      <c r="D276" s="16"/>
      <c r="E276" s="12"/>
      <c r="F276" s="12"/>
      <c r="G276" s="12"/>
      <c r="H276" s="12"/>
      <c r="I276" s="12"/>
      <c r="J276" s="12"/>
      <c r="K276" s="12"/>
      <c r="L276" s="12"/>
      <c r="M276" s="12"/>
      <c r="N276" s="12"/>
      <c r="O276" s="12"/>
      <c r="P276" s="12"/>
      <c r="Q276" s="12"/>
      <c r="R276" s="12"/>
      <c r="S276" s="12"/>
      <c r="T276" s="12"/>
      <c r="U276" s="12"/>
      <c r="V276" s="12"/>
      <c r="W276" s="12"/>
      <c r="X276" s="12"/>
      <c r="Y276" s="12"/>
      <c r="Z276" s="12" t="s">
        <v>1562</v>
      </c>
      <c r="AA276" s="12"/>
      <c r="AB276" s="12"/>
      <c r="AC276" s="12"/>
      <c r="AD276" s="17"/>
    </row>
    <row r="277" spans="2:30" s="3" customFormat="1" ht="54" x14ac:dyDescent="0.25">
      <c r="B277" s="10" t="s">
        <v>498</v>
      </c>
      <c r="C277" s="25" t="s">
        <v>499</v>
      </c>
      <c r="D277" s="16"/>
      <c r="E277" s="12"/>
      <c r="F277" s="12"/>
      <c r="G277" s="12"/>
      <c r="H277" s="12"/>
      <c r="I277" s="12"/>
      <c r="J277" s="12"/>
      <c r="K277" s="12"/>
      <c r="L277" s="12"/>
      <c r="M277" s="12"/>
      <c r="N277" s="12"/>
      <c r="O277" s="12"/>
      <c r="P277" s="12"/>
      <c r="Q277" s="12"/>
      <c r="R277" s="12"/>
      <c r="S277" s="12"/>
      <c r="T277" s="12"/>
      <c r="U277" s="12"/>
      <c r="V277" s="12"/>
      <c r="W277" s="12"/>
      <c r="X277" s="12"/>
      <c r="Y277" s="12"/>
      <c r="Z277" s="12" t="s">
        <v>1618</v>
      </c>
      <c r="AA277" s="12"/>
      <c r="AB277" s="12"/>
      <c r="AC277" s="12"/>
      <c r="AD277" s="17"/>
    </row>
    <row r="278" spans="2:30" s="3" customFormat="1" ht="27" x14ac:dyDescent="0.25">
      <c r="B278" s="10" t="s">
        <v>500</v>
      </c>
      <c r="C278" s="25" t="s">
        <v>496</v>
      </c>
      <c r="D278" s="16"/>
      <c r="E278" s="12"/>
      <c r="F278" s="12"/>
      <c r="G278" s="12"/>
      <c r="H278" s="12"/>
      <c r="I278" s="12"/>
      <c r="J278" s="12"/>
      <c r="K278" s="12"/>
      <c r="L278" s="12"/>
      <c r="M278" s="12"/>
      <c r="N278" s="12"/>
      <c r="O278" s="12"/>
      <c r="P278" s="12"/>
      <c r="Q278" s="12"/>
      <c r="R278" s="12"/>
      <c r="S278" s="12"/>
      <c r="T278" s="12"/>
      <c r="U278" s="12"/>
      <c r="V278" s="12"/>
      <c r="W278" s="12"/>
      <c r="X278" s="12"/>
      <c r="Y278" s="12"/>
      <c r="Z278" s="12" t="s">
        <v>1562</v>
      </c>
      <c r="AA278" s="12"/>
      <c r="AB278" s="12"/>
      <c r="AC278" s="12"/>
      <c r="AD278" s="17"/>
    </row>
    <row r="279" spans="2:30" s="3" customFormat="1" ht="27" x14ac:dyDescent="0.25">
      <c r="B279" s="10" t="s">
        <v>501</v>
      </c>
      <c r="C279" s="25" t="s">
        <v>493</v>
      </c>
      <c r="D279" s="16"/>
      <c r="E279" s="12"/>
      <c r="F279" s="12"/>
      <c r="G279" s="12"/>
      <c r="H279" s="12"/>
      <c r="I279" s="12"/>
      <c r="J279" s="12"/>
      <c r="K279" s="12"/>
      <c r="L279" s="12"/>
      <c r="M279" s="12"/>
      <c r="N279" s="12"/>
      <c r="O279" s="12"/>
      <c r="P279" s="12"/>
      <c r="Q279" s="12"/>
      <c r="R279" s="12"/>
      <c r="S279" s="12"/>
      <c r="T279" s="12"/>
      <c r="U279" s="12"/>
      <c r="V279" s="12"/>
      <c r="W279" s="12"/>
      <c r="X279" s="12"/>
      <c r="Y279" s="12"/>
      <c r="Z279" s="12" t="s">
        <v>1562</v>
      </c>
      <c r="AA279" s="12"/>
      <c r="AB279" s="12"/>
      <c r="AC279" s="12"/>
      <c r="AD279" s="17"/>
    </row>
    <row r="280" spans="2:30" s="3" customFormat="1" ht="13.5" x14ac:dyDescent="0.25">
      <c r="B280" s="10" t="s">
        <v>502</v>
      </c>
      <c r="C280" s="25" t="s">
        <v>491</v>
      </c>
      <c r="D280" s="16"/>
      <c r="E280" s="12"/>
      <c r="F280" s="12"/>
      <c r="G280" s="12"/>
      <c r="H280" s="12"/>
      <c r="I280" s="12"/>
      <c r="J280" s="12"/>
      <c r="K280" s="12"/>
      <c r="L280" s="12"/>
      <c r="M280" s="12"/>
      <c r="N280" s="12"/>
      <c r="O280" s="12"/>
      <c r="P280" s="12"/>
      <c r="Q280" s="12"/>
      <c r="R280" s="12"/>
      <c r="S280" s="12"/>
      <c r="T280" s="12"/>
      <c r="U280" s="12"/>
      <c r="V280" s="12"/>
      <c r="W280" s="12"/>
      <c r="X280" s="12"/>
      <c r="Y280" s="12"/>
      <c r="Z280" s="12" t="s">
        <v>1562</v>
      </c>
      <c r="AA280" s="12"/>
      <c r="AB280" s="12"/>
      <c r="AC280" s="12"/>
      <c r="AD280" s="17"/>
    </row>
    <row r="281" spans="2:30" s="3" customFormat="1" ht="27" x14ac:dyDescent="0.25">
      <c r="B281" s="10" t="s">
        <v>503</v>
      </c>
      <c r="C281" s="25" t="s">
        <v>496</v>
      </c>
      <c r="D281" s="16"/>
      <c r="E281" s="12"/>
      <c r="F281" s="12"/>
      <c r="G281" s="12"/>
      <c r="H281" s="12"/>
      <c r="I281" s="12"/>
      <c r="J281" s="12"/>
      <c r="K281" s="12"/>
      <c r="L281" s="12"/>
      <c r="M281" s="12"/>
      <c r="N281" s="12"/>
      <c r="O281" s="12"/>
      <c r="P281" s="12"/>
      <c r="Q281" s="12"/>
      <c r="R281" s="12"/>
      <c r="S281" s="12"/>
      <c r="T281" s="12"/>
      <c r="U281" s="12"/>
      <c r="V281" s="12"/>
      <c r="W281" s="12"/>
      <c r="X281" s="12"/>
      <c r="Y281" s="12"/>
      <c r="Z281" s="12" t="s">
        <v>1562</v>
      </c>
      <c r="AA281" s="12"/>
      <c r="AB281" s="12"/>
      <c r="AC281" s="12"/>
      <c r="AD281" s="17"/>
    </row>
    <row r="282" spans="2:30" s="3" customFormat="1" ht="27" x14ac:dyDescent="0.25">
      <c r="B282" s="10" t="s">
        <v>504</v>
      </c>
      <c r="C282" s="25" t="s">
        <v>493</v>
      </c>
      <c r="D282" s="16"/>
      <c r="E282" s="12"/>
      <c r="F282" s="12"/>
      <c r="G282" s="12"/>
      <c r="H282" s="12"/>
      <c r="I282" s="12"/>
      <c r="J282" s="12"/>
      <c r="K282" s="12"/>
      <c r="L282" s="12"/>
      <c r="M282" s="12"/>
      <c r="N282" s="12"/>
      <c r="O282" s="12"/>
      <c r="P282" s="12"/>
      <c r="Q282" s="12"/>
      <c r="R282" s="12"/>
      <c r="S282" s="12"/>
      <c r="T282" s="12"/>
      <c r="U282" s="12"/>
      <c r="V282" s="12"/>
      <c r="W282" s="12"/>
      <c r="X282" s="12"/>
      <c r="Y282" s="12"/>
      <c r="Z282" s="12" t="s">
        <v>1562</v>
      </c>
      <c r="AA282" s="12"/>
      <c r="AB282" s="12"/>
      <c r="AC282" s="12"/>
      <c r="AD282" s="17"/>
    </row>
    <row r="283" spans="2:30" s="3" customFormat="1" ht="108" x14ac:dyDescent="0.25">
      <c r="B283" s="10" t="s">
        <v>505</v>
      </c>
      <c r="C283" s="25" t="s">
        <v>491</v>
      </c>
      <c r="D283" s="16"/>
      <c r="E283" s="12"/>
      <c r="F283" s="12"/>
      <c r="G283" s="12"/>
      <c r="H283" s="12"/>
      <c r="I283" s="12"/>
      <c r="J283" s="12"/>
      <c r="K283" s="12"/>
      <c r="L283" s="12"/>
      <c r="M283" s="12"/>
      <c r="N283" s="12"/>
      <c r="O283" s="12"/>
      <c r="P283" s="12"/>
      <c r="Q283" s="12"/>
      <c r="R283" s="12"/>
      <c r="S283" s="12"/>
      <c r="T283" s="12"/>
      <c r="U283" s="12"/>
      <c r="V283" s="12"/>
      <c r="W283" s="12"/>
      <c r="X283" s="12"/>
      <c r="Y283" s="12"/>
      <c r="Z283" s="12" t="s">
        <v>1619</v>
      </c>
      <c r="AA283" s="12"/>
      <c r="AB283" s="12"/>
      <c r="AC283" s="12"/>
      <c r="AD283" s="17"/>
    </row>
    <row r="284" spans="2:30" s="3" customFormat="1" ht="13.5" x14ac:dyDescent="0.25">
      <c r="B284" s="10" t="s">
        <v>506</v>
      </c>
      <c r="C284" s="25" t="s">
        <v>507</v>
      </c>
      <c r="D284" s="16"/>
      <c r="E284" s="12"/>
      <c r="F284" s="12"/>
      <c r="G284" s="12"/>
      <c r="H284" s="12"/>
      <c r="I284" s="12"/>
      <c r="J284" s="12"/>
      <c r="K284" s="12"/>
      <c r="L284" s="12"/>
      <c r="M284" s="12"/>
      <c r="N284" s="12"/>
      <c r="O284" s="12"/>
      <c r="P284" s="12"/>
      <c r="Q284" s="12"/>
      <c r="R284" s="12"/>
      <c r="S284" s="12"/>
      <c r="T284" s="12"/>
      <c r="U284" s="12"/>
      <c r="V284" s="12"/>
      <c r="W284" s="12"/>
      <c r="X284" s="12"/>
      <c r="Y284" s="12"/>
      <c r="Z284" s="12" t="s">
        <v>1562</v>
      </c>
      <c r="AA284" s="12"/>
      <c r="AB284" s="12"/>
      <c r="AC284" s="12"/>
      <c r="AD284" s="17"/>
    </row>
    <row r="285" spans="2:30" s="3" customFormat="1" ht="13.5" x14ac:dyDescent="0.25">
      <c r="B285" s="10" t="s">
        <v>508</v>
      </c>
      <c r="C285" s="25" t="s">
        <v>507</v>
      </c>
      <c r="D285" s="16"/>
      <c r="E285" s="12"/>
      <c r="F285" s="12"/>
      <c r="G285" s="12"/>
      <c r="H285" s="12"/>
      <c r="I285" s="12"/>
      <c r="J285" s="12"/>
      <c r="K285" s="12"/>
      <c r="L285" s="12"/>
      <c r="M285" s="12"/>
      <c r="N285" s="12"/>
      <c r="O285" s="12"/>
      <c r="P285" s="12"/>
      <c r="Q285" s="12"/>
      <c r="R285" s="12"/>
      <c r="S285" s="12"/>
      <c r="T285" s="12"/>
      <c r="U285" s="12"/>
      <c r="V285" s="12"/>
      <c r="W285" s="12"/>
      <c r="X285" s="12"/>
      <c r="Y285" s="12"/>
      <c r="Z285" s="12" t="s">
        <v>1562</v>
      </c>
      <c r="AA285" s="12"/>
      <c r="AB285" s="12"/>
      <c r="AC285" s="12"/>
      <c r="AD285" s="17"/>
    </row>
    <row r="286" spans="2:30" s="3" customFormat="1" ht="13.5" x14ac:dyDescent="0.25">
      <c r="B286" s="10" t="s">
        <v>509</v>
      </c>
      <c r="C286" s="25" t="s">
        <v>53</v>
      </c>
      <c r="D286" s="16"/>
      <c r="E286" s="12"/>
      <c r="F286" s="12"/>
      <c r="G286" s="12"/>
      <c r="H286" s="12"/>
      <c r="I286" s="12"/>
      <c r="J286" s="12"/>
      <c r="K286" s="12"/>
      <c r="L286" s="12"/>
      <c r="M286" s="12"/>
      <c r="N286" s="12"/>
      <c r="O286" s="12"/>
      <c r="P286" s="12"/>
      <c r="Q286" s="12"/>
      <c r="R286" s="12"/>
      <c r="S286" s="12"/>
      <c r="T286" s="12"/>
      <c r="U286" s="12"/>
      <c r="V286" s="12"/>
      <c r="W286" s="12"/>
      <c r="X286" s="12"/>
      <c r="Y286" s="12" t="s">
        <v>1562</v>
      </c>
      <c r="Z286" s="12"/>
      <c r="AA286" s="12"/>
      <c r="AB286" s="12"/>
      <c r="AC286" s="12"/>
      <c r="AD286" s="17"/>
    </row>
    <row r="287" spans="2:30" s="3" customFormat="1" ht="13.5" x14ac:dyDescent="0.25">
      <c r="B287" s="10" t="s">
        <v>510</v>
      </c>
      <c r="C287" s="25" t="s">
        <v>53</v>
      </c>
      <c r="D287" s="16"/>
      <c r="E287" s="12"/>
      <c r="F287" s="12"/>
      <c r="G287" s="12"/>
      <c r="H287" s="12"/>
      <c r="I287" s="12"/>
      <c r="J287" s="12"/>
      <c r="K287" s="12"/>
      <c r="L287" s="12"/>
      <c r="M287" s="12"/>
      <c r="N287" s="12"/>
      <c r="O287" s="12"/>
      <c r="P287" s="12"/>
      <c r="Q287" s="12"/>
      <c r="R287" s="12"/>
      <c r="S287" s="12"/>
      <c r="T287" s="12"/>
      <c r="U287" s="12"/>
      <c r="V287" s="12"/>
      <c r="W287" s="12"/>
      <c r="X287" s="12"/>
      <c r="Y287" s="12" t="s">
        <v>1562</v>
      </c>
      <c r="Z287" s="12"/>
      <c r="AA287" s="12"/>
      <c r="AB287" s="12"/>
      <c r="AC287" s="12"/>
      <c r="AD287" s="17"/>
    </row>
    <row r="288" spans="2:30" s="3" customFormat="1" ht="13.5" x14ac:dyDescent="0.25">
      <c r="B288" s="10" t="s">
        <v>511</v>
      </c>
      <c r="C288" s="25" t="s">
        <v>512</v>
      </c>
      <c r="D288" s="16"/>
      <c r="E288" s="12"/>
      <c r="F288" s="12"/>
      <c r="G288" s="12" t="str">
        <f>VLOOKUP(B288,'[1]ART 3'!A:E,5,FALSE)</f>
        <v xml:space="preserve">Ex. </v>
      </c>
      <c r="H288" s="12"/>
      <c r="I288" s="12"/>
      <c r="J288" s="12"/>
      <c r="K288" s="12"/>
      <c r="L288" s="12"/>
      <c r="M288" s="12"/>
      <c r="N288" s="12"/>
      <c r="O288" s="12"/>
      <c r="P288" s="12"/>
      <c r="Q288" s="12"/>
      <c r="R288" s="12"/>
      <c r="S288" s="12"/>
      <c r="T288" s="12"/>
      <c r="U288" s="12"/>
      <c r="V288" s="12"/>
      <c r="W288" s="12"/>
      <c r="X288" s="12"/>
      <c r="Y288" s="12"/>
      <c r="Z288" s="12"/>
      <c r="AA288" s="12"/>
      <c r="AB288" s="12"/>
      <c r="AC288" s="12"/>
      <c r="AD288" s="17"/>
    </row>
    <row r="289" spans="2:30" s="3" customFormat="1" ht="13.5" x14ac:dyDescent="0.25">
      <c r="B289" s="10" t="s">
        <v>513</v>
      </c>
      <c r="C289" s="25" t="s">
        <v>514</v>
      </c>
      <c r="D289" s="16"/>
      <c r="E289" s="12"/>
      <c r="F289" s="12"/>
      <c r="G289" s="12"/>
      <c r="H289" s="12"/>
      <c r="I289" s="12"/>
      <c r="J289" s="12"/>
      <c r="K289" s="12"/>
      <c r="L289" s="12"/>
      <c r="M289" s="12"/>
      <c r="N289" s="12"/>
      <c r="O289" s="12"/>
      <c r="P289" s="12"/>
      <c r="Q289" s="12"/>
      <c r="R289" s="12"/>
      <c r="S289" s="12"/>
      <c r="T289" s="12"/>
      <c r="U289" s="12"/>
      <c r="V289" s="12"/>
      <c r="W289" s="12"/>
      <c r="X289" s="12"/>
      <c r="Y289" s="12"/>
      <c r="Z289" s="12" t="s">
        <v>1562</v>
      </c>
      <c r="AA289" s="12" t="s">
        <v>146</v>
      </c>
      <c r="AB289" s="12"/>
      <c r="AC289" s="12"/>
      <c r="AD289" s="17"/>
    </row>
    <row r="290" spans="2:30" s="3" customFormat="1" ht="13.5" x14ac:dyDescent="0.25">
      <c r="B290" s="10" t="s">
        <v>515</v>
      </c>
      <c r="C290" s="25" t="s">
        <v>514</v>
      </c>
      <c r="D290" s="16"/>
      <c r="E290" s="12"/>
      <c r="F290" s="12"/>
      <c r="G290" s="12"/>
      <c r="H290" s="12"/>
      <c r="I290" s="12"/>
      <c r="J290" s="12"/>
      <c r="K290" s="12"/>
      <c r="L290" s="12"/>
      <c r="M290" s="12"/>
      <c r="N290" s="12"/>
      <c r="O290" s="12"/>
      <c r="P290" s="12"/>
      <c r="Q290" s="12"/>
      <c r="R290" s="12"/>
      <c r="S290" s="12"/>
      <c r="T290" s="12"/>
      <c r="U290" s="12"/>
      <c r="V290" s="12"/>
      <c r="W290" s="12"/>
      <c r="X290" s="12"/>
      <c r="Y290" s="12"/>
      <c r="Z290" s="12" t="s">
        <v>1562</v>
      </c>
      <c r="AA290" s="12" t="s">
        <v>146</v>
      </c>
      <c r="AB290" s="12"/>
      <c r="AC290" s="12"/>
      <c r="AD290" s="17"/>
    </row>
    <row r="291" spans="2:30" s="3" customFormat="1" ht="67.5" x14ac:dyDescent="0.25">
      <c r="B291" s="10" t="s">
        <v>516</v>
      </c>
      <c r="C291" s="25" t="s">
        <v>517</v>
      </c>
      <c r="D291" s="16"/>
      <c r="E291" s="12"/>
      <c r="F291" s="12"/>
      <c r="G291" s="12"/>
      <c r="H291" s="12"/>
      <c r="I291" s="12"/>
      <c r="J291" s="12"/>
      <c r="K291" s="12"/>
      <c r="L291" s="12"/>
      <c r="M291" s="12"/>
      <c r="N291" s="12"/>
      <c r="O291" s="12"/>
      <c r="P291" s="12"/>
      <c r="Q291" s="12"/>
      <c r="R291" s="12"/>
      <c r="S291" s="12"/>
      <c r="T291" s="12"/>
      <c r="U291" s="12"/>
      <c r="V291" s="12"/>
      <c r="W291" s="12"/>
      <c r="X291" s="12" t="s">
        <v>1620</v>
      </c>
      <c r="Y291" s="12"/>
      <c r="Z291" s="12"/>
      <c r="AA291" s="12"/>
      <c r="AB291" s="12"/>
      <c r="AC291" s="12"/>
      <c r="AD291" s="17"/>
    </row>
    <row r="292" spans="2:30" s="3" customFormat="1" ht="67.5" x14ac:dyDescent="0.25">
      <c r="B292" s="10" t="s">
        <v>518</v>
      </c>
      <c r="C292" s="25" t="s">
        <v>519</v>
      </c>
      <c r="D292" s="16"/>
      <c r="E292" s="12"/>
      <c r="F292" s="12"/>
      <c r="G292" s="12"/>
      <c r="H292" s="12"/>
      <c r="I292" s="12"/>
      <c r="J292" s="12"/>
      <c r="K292" s="12"/>
      <c r="L292" s="12"/>
      <c r="M292" s="12"/>
      <c r="N292" s="12"/>
      <c r="O292" s="12"/>
      <c r="P292" s="12"/>
      <c r="Q292" s="12"/>
      <c r="R292" s="12"/>
      <c r="S292" s="12"/>
      <c r="T292" s="12"/>
      <c r="U292" s="12"/>
      <c r="V292" s="12"/>
      <c r="W292" s="12"/>
      <c r="X292" s="12" t="s">
        <v>1621</v>
      </c>
      <c r="Y292" s="12" t="s">
        <v>1622</v>
      </c>
      <c r="Z292" s="12"/>
      <c r="AA292" s="12"/>
      <c r="AB292" s="12"/>
      <c r="AC292" s="12"/>
      <c r="AD292" s="17"/>
    </row>
    <row r="293" spans="2:30" s="3" customFormat="1" ht="13.5" x14ac:dyDescent="0.25">
      <c r="B293" s="10" t="s">
        <v>520</v>
      </c>
      <c r="C293" s="25" t="s">
        <v>53</v>
      </c>
      <c r="D293" s="16"/>
      <c r="E293" s="12"/>
      <c r="F293" s="12"/>
      <c r="G293" s="12"/>
      <c r="H293" s="12"/>
      <c r="I293" s="12"/>
      <c r="J293" s="12"/>
      <c r="K293" s="12"/>
      <c r="L293" s="12"/>
      <c r="M293" s="12"/>
      <c r="N293" s="12"/>
      <c r="O293" s="12"/>
      <c r="P293" s="12"/>
      <c r="Q293" s="12"/>
      <c r="R293" s="12"/>
      <c r="S293" s="12"/>
      <c r="T293" s="12"/>
      <c r="U293" s="12"/>
      <c r="V293" s="12"/>
      <c r="W293" s="12"/>
      <c r="X293" s="12" t="s">
        <v>1570</v>
      </c>
      <c r="Y293" s="12"/>
      <c r="Z293" s="12"/>
      <c r="AA293" s="12"/>
      <c r="AB293" s="12"/>
      <c r="AC293" s="12"/>
      <c r="AD293" s="17"/>
    </row>
    <row r="294" spans="2:30" s="3" customFormat="1" ht="229.5" x14ac:dyDescent="0.25">
      <c r="B294" s="10" t="s">
        <v>521</v>
      </c>
      <c r="C294" s="25" t="s">
        <v>522</v>
      </c>
      <c r="D294" s="16"/>
      <c r="E294" s="12"/>
      <c r="F294" s="12"/>
      <c r="G294" s="12"/>
      <c r="H294" s="12"/>
      <c r="I294" s="12"/>
      <c r="J294" s="12"/>
      <c r="K294" s="12"/>
      <c r="L294" s="12"/>
      <c r="M294" s="12"/>
      <c r="N294" s="12"/>
      <c r="O294" s="12"/>
      <c r="P294" s="12"/>
      <c r="Q294" s="12"/>
      <c r="R294" s="12" t="s">
        <v>1623</v>
      </c>
      <c r="S294" s="12"/>
      <c r="T294" s="12"/>
      <c r="U294" s="12"/>
      <c r="V294" s="12"/>
      <c r="W294" s="12"/>
      <c r="X294" s="12"/>
      <c r="Y294" s="12"/>
      <c r="Z294" s="12"/>
      <c r="AA294" s="12"/>
      <c r="AB294" s="12"/>
      <c r="AC294" s="12"/>
      <c r="AD294" s="17"/>
    </row>
    <row r="295" spans="2:30" s="3" customFormat="1" ht="13.5" x14ac:dyDescent="0.25">
      <c r="B295" s="10" t="s">
        <v>523</v>
      </c>
      <c r="C295" s="25" t="s">
        <v>157</v>
      </c>
      <c r="D295" s="16"/>
      <c r="E295" s="12"/>
      <c r="F295" s="12"/>
      <c r="G295" s="12"/>
      <c r="H295" s="12"/>
      <c r="I295" s="12"/>
      <c r="J295" s="12"/>
      <c r="K295" s="12"/>
      <c r="L295" s="12"/>
      <c r="M295" s="12"/>
      <c r="N295" s="12"/>
      <c r="O295" s="12"/>
      <c r="P295" s="12"/>
      <c r="Q295" s="12"/>
      <c r="R295" s="12"/>
      <c r="S295" s="12"/>
      <c r="T295" s="12"/>
      <c r="U295" s="12"/>
      <c r="V295" s="12"/>
      <c r="W295" s="12"/>
      <c r="X295" s="12" t="s">
        <v>1570</v>
      </c>
      <c r="Y295" s="12"/>
      <c r="Z295" s="12"/>
      <c r="AA295" s="12"/>
      <c r="AB295" s="12"/>
      <c r="AC295" s="12"/>
      <c r="AD295" s="17"/>
    </row>
    <row r="296" spans="2:30" s="3" customFormat="1" ht="94.5" x14ac:dyDescent="0.25">
      <c r="B296" s="10" t="s">
        <v>524</v>
      </c>
      <c r="C296" s="25" t="s">
        <v>525</v>
      </c>
      <c r="D296" s="16"/>
      <c r="E296" s="12"/>
      <c r="F296" s="12"/>
      <c r="G296" s="12"/>
      <c r="H296" s="12"/>
      <c r="I296" s="12"/>
      <c r="J296" s="12"/>
      <c r="K296" s="12"/>
      <c r="L296" s="12"/>
      <c r="M296" s="12"/>
      <c r="N296" s="12"/>
      <c r="O296" s="12"/>
      <c r="P296" s="12"/>
      <c r="Q296" s="12"/>
      <c r="R296" s="12"/>
      <c r="S296" s="12"/>
      <c r="T296" s="12"/>
      <c r="U296" s="12"/>
      <c r="V296" s="12"/>
      <c r="W296" s="12"/>
      <c r="X296" s="12" t="s">
        <v>1624</v>
      </c>
      <c r="Y296" s="12"/>
      <c r="Z296" s="12"/>
      <c r="AA296" s="12"/>
      <c r="AB296" s="12"/>
      <c r="AC296" s="12"/>
      <c r="AD296" s="17"/>
    </row>
    <row r="297" spans="2:30" s="3" customFormat="1" ht="13.5" x14ac:dyDescent="0.25">
      <c r="B297" s="10" t="s">
        <v>526</v>
      </c>
      <c r="C297" s="25" t="s">
        <v>527</v>
      </c>
      <c r="D297" s="16"/>
      <c r="E297" s="12"/>
      <c r="F297" s="12"/>
      <c r="G297" s="12"/>
      <c r="H297" s="12"/>
      <c r="I297" s="12"/>
      <c r="J297" s="12"/>
      <c r="K297" s="12"/>
      <c r="L297" s="12"/>
      <c r="M297" s="12"/>
      <c r="N297" s="12"/>
      <c r="O297" s="12"/>
      <c r="P297" s="12"/>
      <c r="Q297" s="12"/>
      <c r="R297" s="12"/>
      <c r="S297" s="12"/>
      <c r="T297" s="12"/>
      <c r="U297" s="12"/>
      <c r="V297" s="12"/>
      <c r="W297" s="12"/>
      <c r="X297" s="12" t="s">
        <v>1570</v>
      </c>
      <c r="Y297" s="12"/>
      <c r="Z297" s="12"/>
      <c r="AA297" s="12"/>
      <c r="AB297" s="12"/>
      <c r="AC297" s="12"/>
      <c r="AD297" s="17"/>
    </row>
    <row r="298" spans="2:30" s="3" customFormat="1" ht="13.5" x14ac:dyDescent="0.25">
      <c r="B298" s="10" t="s">
        <v>528</v>
      </c>
      <c r="C298" s="25" t="s">
        <v>529</v>
      </c>
      <c r="D298" s="16"/>
      <c r="E298" s="12"/>
      <c r="F298" s="12"/>
      <c r="G298" s="12"/>
      <c r="H298" s="12"/>
      <c r="I298" s="12"/>
      <c r="J298" s="12"/>
      <c r="K298" s="12"/>
      <c r="L298" s="12"/>
      <c r="M298" s="12"/>
      <c r="N298" s="12"/>
      <c r="O298" s="12"/>
      <c r="P298" s="12"/>
      <c r="Q298" s="12"/>
      <c r="R298" s="12"/>
      <c r="S298" s="12"/>
      <c r="T298" s="12"/>
      <c r="U298" s="12"/>
      <c r="V298" s="12"/>
      <c r="W298" s="12"/>
      <c r="X298" s="12" t="s">
        <v>1562</v>
      </c>
      <c r="Y298" s="12"/>
      <c r="Z298" s="12"/>
      <c r="AA298" s="12"/>
      <c r="AB298" s="12"/>
      <c r="AC298" s="12"/>
      <c r="AD298" s="17"/>
    </row>
    <row r="299" spans="2:30" s="3" customFormat="1" ht="13.5" x14ac:dyDescent="0.25">
      <c r="B299" s="10" t="s">
        <v>530</v>
      </c>
      <c r="C299" s="25" t="s">
        <v>157</v>
      </c>
      <c r="D299" s="16"/>
      <c r="E299" s="12"/>
      <c r="F299" s="12"/>
      <c r="G299" s="12"/>
      <c r="H299" s="12" t="str">
        <f>VLOOKUP(B299,'[1]ART IV'!A:E,5,FALSE)</f>
        <v xml:space="preserve">Ex. </v>
      </c>
      <c r="I299" s="12"/>
      <c r="J299" s="12"/>
      <c r="K299" s="12"/>
      <c r="L299" s="12"/>
      <c r="M299" s="12"/>
      <c r="N299" s="12"/>
      <c r="O299" s="12"/>
      <c r="P299" s="12"/>
      <c r="Q299" s="12"/>
      <c r="R299" s="12"/>
      <c r="S299" s="12"/>
      <c r="T299" s="12"/>
      <c r="U299" s="12"/>
      <c r="V299" s="12"/>
      <c r="W299" s="12"/>
      <c r="X299" s="12"/>
      <c r="Y299" s="12"/>
      <c r="Z299" s="12"/>
      <c r="AA299" s="12"/>
      <c r="AB299" s="12"/>
      <c r="AC299" s="12"/>
      <c r="AD299" s="17"/>
    </row>
    <row r="300" spans="2:30" s="3" customFormat="1" ht="67.5" x14ac:dyDescent="0.25">
      <c r="B300" s="10" t="s">
        <v>531</v>
      </c>
      <c r="C300" s="25" t="s">
        <v>529</v>
      </c>
      <c r="D300" s="16"/>
      <c r="E300" s="12"/>
      <c r="F300" s="12"/>
      <c r="G300" s="12" t="str">
        <f>VLOOKUP(B300,'[1]ART 3'!A:E,5,FALSE)</f>
        <v>Ex. Únicamente: De fibras sintéticas o artificiales.</v>
      </c>
      <c r="H300" s="12"/>
      <c r="I300" s="12" t="str">
        <f>VLOOKUP(B300,'[1]ART 5'!A:E,5,FALSE)</f>
        <v xml:space="preserve">Ex. </v>
      </c>
      <c r="J300" s="12"/>
      <c r="K300" s="12"/>
      <c r="L300" s="12"/>
      <c r="M300" s="12"/>
      <c r="N300" s="12"/>
      <c r="O300" s="12"/>
      <c r="P300" s="12"/>
      <c r="Q300" s="12"/>
      <c r="R300" s="12"/>
      <c r="S300" s="12"/>
      <c r="T300" s="12"/>
      <c r="U300" s="12"/>
      <c r="V300" s="12"/>
      <c r="W300" s="12"/>
      <c r="X300" s="12"/>
      <c r="Y300" s="12" t="s">
        <v>1625</v>
      </c>
      <c r="Z300" s="12"/>
      <c r="AA300" s="12"/>
      <c r="AB300" s="12"/>
      <c r="AC300" s="12"/>
      <c r="AD300" s="17"/>
    </row>
    <row r="301" spans="2:30" s="3" customFormat="1" ht="54" x14ac:dyDescent="0.25">
      <c r="B301" s="10" t="s">
        <v>532</v>
      </c>
      <c r="C301" s="25" t="s">
        <v>533</v>
      </c>
      <c r="D301" s="16"/>
      <c r="E301" s="12"/>
      <c r="F301" s="12"/>
      <c r="G301" s="12"/>
      <c r="H301" s="12"/>
      <c r="I301" s="12" t="str">
        <f>VLOOKUP(B301,'[1]ART 5'!A:E,5,FALSE)</f>
        <v>Ex. Excepto: Cintas o tiras adhesivas.</v>
      </c>
      <c r="J301" s="12"/>
      <c r="K301" s="12"/>
      <c r="L301" s="12"/>
      <c r="M301" s="12"/>
      <c r="N301" s="12"/>
      <c r="O301" s="12"/>
      <c r="P301" s="12"/>
      <c r="Q301" s="12"/>
      <c r="R301" s="12"/>
      <c r="S301" s="12"/>
      <c r="T301" s="12"/>
      <c r="U301" s="12"/>
      <c r="V301" s="12"/>
      <c r="W301" s="12"/>
      <c r="X301" s="12" t="s">
        <v>1626</v>
      </c>
      <c r="Y301" s="12"/>
      <c r="Z301" s="12"/>
      <c r="AA301" s="12"/>
      <c r="AB301" s="12"/>
      <c r="AC301" s="12"/>
      <c r="AD301" s="17"/>
    </row>
    <row r="302" spans="2:30" s="3" customFormat="1" ht="27" x14ac:dyDescent="0.25">
      <c r="B302" s="10" t="s">
        <v>534</v>
      </c>
      <c r="C302" s="25" t="s">
        <v>535</v>
      </c>
      <c r="D302" s="16"/>
      <c r="E302" s="12"/>
      <c r="F302" s="12"/>
      <c r="G302" s="12"/>
      <c r="H302" s="12"/>
      <c r="I302" s="12"/>
      <c r="J302" s="12"/>
      <c r="K302" s="12"/>
      <c r="L302" s="12"/>
      <c r="M302" s="12"/>
      <c r="N302" s="12"/>
      <c r="O302" s="12"/>
      <c r="P302" s="12"/>
      <c r="Q302" s="12"/>
      <c r="R302" s="12"/>
      <c r="S302" s="12"/>
      <c r="T302" s="12"/>
      <c r="U302" s="12"/>
      <c r="V302" s="12"/>
      <c r="W302" s="12"/>
      <c r="X302" s="12" t="s">
        <v>1570</v>
      </c>
      <c r="Y302" s="12"/>
      <c r="Z302" s="12"/>
      <c r="AA302" s="12"/>
      <c r="AB302" s="12"/>
      <c r="AC302" s="12"/>
      <c r="AD302" s="17"/>
    </row>
    <row r="303" spans="2:30" s="3" customFormat="1" ht="175.5" x14ac:dyDescent="0.25">
      <c r="B303" s="10" t="s">
        <v>536</v>
      </c>
      <c r="C303" s="25" t="s">
        <v>537</v>
      </c>
      <c r="D303" s="16"/>
      <c r="E303" s="12"/>
      <c r="F303" s="12"/>
      <c r="G303" s="12"/>
      <c r="H303" s="12" t="str">
        <f>VLOOKUP(B303,'[1]ART IV'!A:E,5,FALSE)</f>
        <v>Ex. Únicamente: De fibras sintéticas cauchutadas con neopreno, de peso inferior o igual a 1,500 g/m², para la fabricación de prendas deportivas.</v>
      </c>
      <c r="I303" s="12"/>
      <c r="J303" s="12"/>
      <c r="K303" s="12"/>
      <c r="L303" s="12"/>
      <c r="M303" s="12"/>
      <c r="N303" s="12"/>
      <c r="O303" s="12"/>
      <c r="P303" s="12"/>
      <c r="Q303" s="12"/>
      <c r="R303" s="12"/>
      <c r="S303" s="12"/>
      <c r="T303" s="12"/>
      <c r="U303" s="12"/>
      <c r="V303" s="12"/>
      <c r="W303" s="12"/>
      <c r="X303" s="12"/>
      <c r="Y303" s="12"/>
      <c r="Z303" s="12"/>
      <c r="AA303" s="12"/>
      <c r="AB303" s="12"/>
      <c r="AC303" s="12"/>
      <c r="AD303" s="17"/>
    </row>
    <row r="304" spans="2:30" s="3" customFormat="1" ht="54" x14ac:dyDescent="0.25">
      <c r="B304" s="10" t="s">
        <v>538</v>
      </c>
      <c r="C304" s="25" t="s">
        <v>539</v>
      </c>
      <c r="D304" s="16"/>
      <c r="E304" s="12"/>
      <c r="F304" s="12"/>
      <c r="G304" s="12"/>
      <c r="H304" s="12"/>
      <c r="I304" s="12"/>
      <c r="J304" s="12"/>
      <c r="K304" s="12"/>
      <c r="L304" s="12"/>
      <c r="M304" s="12"/>
      <c r="N304" s="12"/>
      <c r="O304" s="12"/>
      <c r="P304" s="12"/>
      <c r="Q304" s="12"/>
      <c r="R304" s="12"/>
      <c r="S304" s="12"/>
      <c r="T304" s="12"/>
      <c r="U304" s="12"/>
      <c r="V304" s="12"/>
      <c r="W304" s="12"/>
      <c r="X304" s="12" t="s">
        <v>1570</v>
      </c>
      <c r="Y304" s="12"/>
      <c r="Z304" s="12"/>
      <c r="AA304" s="12"/>
      <c r="AB304" s="12"/>
      <c r="AC304" s="12"/>
      <c r="AD304" s="17"/>
    </row>
    <row r="305" spans="2:30" s="3" customFormat="1" ht="81" x14ac:dyDescent="0.25">
      <c r="B305" s="10" t="s">
        <v>540</v>
      </c>
      <c r="C305" s="25" t="s">
        <v>541</v>
      </c>
      <c r="D305" s="16"/>
      <c r="E305" s="12" t="str">
        <f>VLOOKUP(B305,'[1]ART 2 A)'!A:E,5,FALSE)</f>
        <v>Ex.</v>
      </c>
      <c r="F305" s="12"/>
      <c r="G305" s="12"/>
      <c r="H305" s="12"/>
      <c r="I305" s="12"/>
      <c r="J305" s="12"/>
      <c r="K305" s="12"/>
      <c r="L305" s="12"/>
      <c r="M305" s="12"/>
      <c r="N305" s="12"/>
      <c r="O305" s="12"/>
      <c r="P305" s="12"/>
      <c r="Q305" s="12"/>
      <c r="R305" s="12"/>
      <c r="S305" s="12"/>
      <c r="T305" s="12"/>
      <c r="U305" s="12"/>
      <c r="V305" s="12"/>
      <c r="W305" s="12"/>
      <c r="X305" s="12"/>
      <c r="Y305" s="12" t="s">
        <v>1562</v>
      </c>
      <c r="Z305" s="12"/>
      <c r="AA305" s="12"/>
      <c r="AB305" s="12"/>
      <c r="AC305" s="12"/>
      <c r="AD305" s="17"/>
    </row>
    <row r="306" spans="2:30" s="3" customFormat="1" ht="148.5" x14ac:dyDescent="0.25">
      <c r="B306" s="10" t="s">
        <v>542</v>
      </c>
      <c r="C306" s="25" t="s">
        <v>543</v>
      </c>
      <c r="D306" s="16"/>
      <c r="E306" s="12" t="str">
        <f>VLOOKUP(B306,'[1]ART 2 A)'!A:E,5,FALSE)</f>
        <v>Ex.Excepto: Tejidos armados con metal, de los tipos comúnmente empleados en usos técnicos.</v>
      </c>
      <c r="F306" s="12"/>
      <c r="G306" s="12" t="str">
        <f>VLOOKUP(B306,'[1]ART 3'!A:E,5,FALSE)</f>
        <v>Ex. Excepto: Tejidos armados con metal, de los tipos comúnmente empleados en usos técnicos.</v>
      </c>
      <c r="H306" s="12"/>
      <c r="I306" s="12"/>
      <c r="J306" s="12"/>
      <c r="K306" s="12" t="str">
        <f>VLOOKUP(B306,'[1]ART 7'!A:E,5,FALSE)</f>
        <v>5 Únicamente: Juntas, arandelas, membranas, discos, manguitos o artículos análogos para usos técnicos.</v>
      </c>
      <c r="L306" s="12"/>
      <c r="M306" s="12" t="str">
        <f>VLOOKUP(B306,'[1]ART 9'!A:E,5,FALSE)</f>
        <v>Ex. Únicamente: Juntas, arandelas, membranas, discos, manguitos o artículos análogos para usos técnicos.</v>
      </c>
      <c r="N306" s="12"/>
      <c r="O306" s="12"/>
      <c r="P306" s="12"/>
      <c r="Q306" s="12"/>
      <c r="R306" s="12"/>
      <c r="S306" s="12"/>
      <c r="T306" s="12"/>
      <c r="U306" s="12"/>
      <c r="V306" s="12"/>
      <c r="W306" s="12"/>
      <c r="X306" s="12" t="s">
        <v>1627</v>
      </c>
      <c r="Y306" s="12"/>
      <c r="Z306" s="12"/>
      <c r="AA306" s="12"/>
      <c r="AB306" s="12"/>
      <c r="AC306" s="12"/>
      <c r="AD306" s="17"/>
    </row>
    <row r="307" spans="2:30" s="3" customFormat="1" ht="189" x14ac:dyDescent="0.25">
      <c r="B307" s="9" t="s">
        <v>544</v>
      </c>
      <c r="C307" s="25" t="s">
        <v>545</v>
      </c>
      <c r="D307" s="16"/>
      <c r="E307" s="12"/>
      <c r="F307" s="12"/>
      <c r="G307" s="12" t="str">
        <f>VLOOKUP(B307,'[1]ART 3'!A:E,5,FALSE)</f>
        <v>Ex. Únicamente: Totalmente de poliamidas, con un fieltro de fibras de polipropileno en una de sus caras, como soporte.</v>
      </c>
      <c r="H307" s="12"/>
      <c r="I307" s="12"/>
      <c r="J307" s="12"/>
      <c r="K307" s="12"/>
      <c r="L307" s="12"/>
      <c r="M307" s="12"/>
      <c r="N307" s="12"/>
      <c r="O307" s="12"/>
      <c r="P307" s="12"/>
      <c r="Q307" s="12"/>
      <c r="R307" s="12"/>
      <c r="S307" s="12"/>
      <c r="T307" s="12"/>
      <c r="U307" s="12"/>
      <c r="V307" s="12"/>
      <c r="W307" s="12"/>
      <c r="X307" s="12" t="s">
        <v>1628</v>
      </c>
      <c r="Y307" s="12"/>
      <c r="Z307" s="12"/>
      <c r="AA307" s="12"/>
      <c r="AB307" s="12"/>
      <c r="AC307" s="12"/>
      <c r="AD307" s="17"/>
    </row>
    <row r="308" spans="2:30" s="3" customFormat="1" ht="40.5" x14ac:dyDescent="0.25">
      <c r="B308" s="10" t="s">
        <v>546</v>
      </c>
      <c r="C308" s="25" t="s">
        <v>547</v>
      </c>
      <c r="D308" s="16"/>
      <c r="E308" s="12"/>
      <c r="F308" s="12"/>
      <c r="G308" s="12"/>
      <c r="H308" s="12"/>
      <c r="I308" s="12"/>
      <c r="J308" s="12"/>
      <c r="K308" s="12"/>
      <c r="L308" s="12"/>
      <c r="M308" s="12"/>
      <c r="N308" s="12"/>
      <c r="O308" s="12"/>
      <c r="P308" s="12"/>
      <c r="Q308" s="12"/>
      <c r="R308" s="12"/>
      <c r="S308" s="12"/>
      <c r="T308" s="12"/>
      <c r="U308" s="12"/>
      <c r="V308" s="12"/>
      <c r="W308" s="12"/>
      <c r="X308" s="12"/>
      <c r="Y308" s="12" t="s">
        <v>1612</v>
      </c>
      <c r="Z308" s="12"/>
      <c r="AA308" s="12"/>
      <c r="AB308" s="12"/>
      <c r="AC308" s="12"/>
      <c r="AD308" s="17"/>
    </row>
    <row r="309" spans="2:30" s="3" customFormat="1" ht="27" x14ac:dyDescent="0.25">
      <c r="B309" s="9" t="s">
        <v>548</v>
      </c>
      <c r="C309" s="25" t="s">
        <v>549</v>
      </c>
      <c r="D309" s="16"/>
      <c r="E309" s="12"/>
      <c r="F309" s="12"/>
      <c r="G309" s="12"/>
      <c r="H309" s="12"/>
      <c r="I309" s="12"/>
      <c r="J309" s="12"/>
      <c r="K309" s="12"/>
      <c r="L309" s="12"/>
      <c r="M309" s="12"/>
      <c r="N309" s="12"/>
      <c r="O309" s="12"/>
      <c r="P309" s="12"/>
      <c r="Q309" s="12"/>
      <c r="R309" s="12"/>
      <c r="S309" s="12"/>
      <c r="T309" s="12"/>
      <c r="U309" s="12"/>
      <c r="V309" s="12"/>
      <c r="W309" s="12"/>
      <c r="X309" s="12"/>
      <c r="Y309" s="12" t="s">
        <v>1612</v>
      </c>
      <c r="Z309" s="12"/>
      <c r="AA309" s="12"/>
      <c r="AB309" s="12"/>
      <c r="AC309" s="12"/>
      <c r="AD309" s="17"/>
    </row>
    <row r="310" spans="2:30" s="3" customFormat="1" ht="27" x14ac:dyDescent="0.25">
      <c r="B310" s="10" t="s">
        <v>550</v>
      </c>
      <c r="C310" s="25" t="s">
        <v>551</v>
      </c>
      <c r="D310" s="16"/>
      <c r="E310" s="12"/>
      <c r="F310" s="12"/>
      <c r="G310" s="12"/>
      <c r="H310" s="12"/>
      <c r="I310" s="12"/>
      <c r="J310" s="12"/>
      <c r="K310" s="12"/>
      <c r="L310" s="12"/>
      <c r="M310" s="12"/>
      <c r="N310" s="12"/>
      <c r="O310" s="12"/>
      <c r="P310" s="12"/>
      <c r="Q310" s="12"/>
      <c r="R310" s="12"/>
      <c r="S310" s="12"/>
      <c r="T310" s="12"/>
      <c r="U310" s="12"/>
      <c r="V310" s="12"/>
      <c r="W310" s="12"/>
      <c r="X310" s="12" t="s">
        <v>1570</v>
      </c>
      <c r="Y310" s="12"/>
      <c r="Z310" s="12"/>
      <c r="AA310" s="12"/>
      <c r="AB310" s="12"/>
      <c r="AC310" s="12"/>
      <c r="AD310" s="17"/>
    </row>
    <row r="311" spans="2:30" s="3" customFormat="1" ht="13.5" x14ac:dyDescent="0.25">
      <c r="B311" s="10" t="s">
        <v>552</v>
      </c>
      <c r="C311" s="25" t="s">
        <v>527</v>
      </c>
      <c r="D311" s="16"/>
      <c r="E311" s="12"/>
      <c r="F311" s="12"/>
      <c r="G311" s="12"/>
      <c r="H311" s="12"/>
      <c r="I311" s="12"/>
      <c r="J311" s="12"/>
      <c r="K311" s="12"/>
      <c r="L311" s="12"/>
      <c r="M311" s="12"/>
      <c r="N311" s="12"/>
      <c r="O311" s="12"/>
      <c r="P311" s="12"/>
      <c r="Q311" s="12"/>
      <c r="R311" s="12"/>
      <c r="S311" s="12"/>
      <c r="T311" s="12"/>
      <c r="U311" s="12"/>
      <c r="V311" s="12"/>
      <c r="W311" s="12"/>
      <c r="X311" s="12" t="s">
        <v>1570</v>
      </c>
      <c r="Y311" s="12"/>
      <c r="Z311" s="12"/>
      <c r="AA311" s="12"/>
      <c r="AB311" s="12"/>
      <c r="AC311" s="12"/>
      <c r="AD311" s="17"/>
    </row>
    <row r="312" spans="2:30" s="3" customFormat="1" ht="13.5" x14ac:dyDescent="0.25">
      <c r="B312" s="10" t="s">
        <v>553</v>
      </c>
      <c r="C312" s="25" t="s">
        <v>554</v>
      </c>
      <c r="D312" s="16"/>
      <c r="E312" s="12"/>
      <c r="F312" s="12"/>
      <c r="G312" s="12"/>
      <c r="H312" s="12"/>
      <c r="I312" s="12" t="str">
        <f>VLOOKUP(B312,'[1]ART 5'!A:E,5,FALSE)</f>
        <v xml:space="preserve">Ex. </v>
      </c>
      <c r="J312" s="12"/>
      <c r="K312" s="12"/>
      <c r="L312" s="12"/>
      <c r="M312" s="12"/>
      <c r="N312" s="12"/>
      <c r="O312" s="12"/>
      <c r="P312" s="12"/>
      <c r="Q312" s="12"/>
      <c r="R312" s="12"/>
      <c r="S312" s="12"/>
      <c r="T312" s="12"/>
      <c r="U312" s="12"/>
      <c r="V312" s="12"/>
      <c r="W312" s="12"/>
      <c r="X312" s="12"/>
      <c r="Y312" s="12" t="s">
        <v>1562</v>
      </c>
      <c r="Z312" s="12"/>
      <c r="AA312" s="12"/>
      <c r="AB312" s="12"/>
      <c r="AC312" s="12"/>
      <c r="AD312" s="17"/>
    </row>
    <row r="313" spans="2:30" s="3" customFormat="1" ht="81" x14ac:dyDescent="0.25">
      <c r="B313" s="10" t="s">
        <v>555</v>
      </c>
      <c r="C313" s="25" t="s">
        <v>556</v>
      </c>
      <c r="D313" s="16"/>
      <c r="E313" s="12"/>
      <c r="F313" s="12"/>
      <c r="G313" s="12"/>
      <c r="H313" s="12"/>
      <c r="I313" s="12" t="str">
        <f>VLOOKUP(B313,'[1]ART 5'!A:E,5,FALSE)</f>
        <v>5 Únicamente: De cuero o piel; de materia textil.</v>
      </c>
      <c r="J313" s="12"/>
      <c r="K313" s="12"/>
      <c r="L313" s="12"/>
      <c r="M313" s="12"/>
      <c r="N313" s="12"/>
      <c r="O313" s="12"/>
      <c r="P313" s="12"/>
      <c r="Q313" s="12"/>
      <c r="R313" s="12"/>
      <c r="S313" s="12"/>
      <c r="T313" s="12"/>
      <c r="U313" s="12"/>
      <c r="V313" s="12"/>
      <c r="W313" s="12"/>
      <c r="X313" s="12"/>
      <c r="Y313" s="12"/>
      <c r="Z313" s="12"/>
      <c r="AA313" s="12"/>
      <c r="AB313" s="12"/>
      <c r="AC313" s="12"/>
      <c r="AD313" s="17"/>
    </row>
    <row r="314" spans="2:30" s="3" customFormat="1" ht="13.5" x14ac:dyDescent="0.25">
      <c r="B314" s="10" t="s">
        <v>557</v>
      </c>
      <c r="C314" s="25" t="s">
        <v>558</v>
      </c>
      <c r="D314" s="16"/>
      <c r="E314" s="12"/>
      <c r="F314" s="12"/>
      <c r="G314" s="12"/>
      <c r="H314" s="12"/>
      <c r="I314" s="12" t="str">
        <f>VLOOKUP(B314,'[1]ART 5'!A:E,5,FALSE)</f>
        <v xml:space="preserve">Ex. </v>
      </c>
      <c r="J314" s="12"/>
      <c r="K314" s="12"/>
      <c r="L314" s="12"/>
      <c r="M314" s="12"/>
      <c r="N314" s="12"/>
      <c r="O314" s="12"/>
      <c r="P314" s="12"/>
      <c r="Q314" s="12"/>
      <c r="R314" s="12"/>
      <c r="S314" s="12"/>
      <c r="T314" s="12"/>
      <c r="U314" s="12"/>
      <c r="V314" s="12"/>
      <c r="W314" s="12"/>
      <c r="X314" s="12"/>
      <c r="Y314" s="12"/>
      <c r="Z314" s="12"/>
      <c r="AA314" s="12"/>
      <c r="AB314" s="12"/>
      <c r="AC314" s="12"/>
      <c r="AD314" s="17"/>
    </row>
    <row r="315" spans="2:30" s="3" customFormat="1" ht="13.5" x14ac:dyDescent="0.25">
      <c r="B315" s="10" t="s">
        <v>559</v>
      </c>
      <c r="C315" s="25" t="s">
        <v>53</v>
      </c>
      <c r="D315" s="16"/>
      <c r="E315" s="12"/>
      <c r="F315" s="12"/>
      <c r="G315" s="12"/>
      <c r="H315" s="12"/>
      <c r="I315" s="12" t="str">
        <f>VLOOKUP(B315,'[1]ART 5'!A:E,5,FALSE)</f>
        <v xml:space="preserve">Ex. </v>
      </c>
      <c r="J315" s="12"/>
      <c r="K315" s="12"/>
      <c r="L315" s="12"/>
      <c r="M315" s="12"/>
      <c r="N315" s="12"/>
      <c r="O315" s="12"/>
      <c r="P315" s="12"/>
      <c r="Q315" s="12"/>
      <c r="R315" s="12"/>
      <c r="S315" s="12"/>
      <c r="T315" s="12"/>
      <c r="U315" s="12"/>
      <c r="V315" s="12"/>
      <c r="W315" s="12"/>
      <c r="X315" s="12"/>
      <c r="Y315" s="12"/>
      <c r="Z315" s="12"/>
      <c r="AA315" s="12"/>
      <c r="AB315" s="12"/>
      <c r="AC315" s="12"/>
      <c r="AD315" s="17"/>
    </row>
    <row r="316" spans="2:30" s="3" customFormat="1" ht="216" x14ac:dyDescent="0.25">
      <c r="B316" s="10" t="s">
        <v>560</v>
      </c>
      <c r="C316" s="25" t="s">
        <v>561</v>
      </c>
      <c r="D316" s="16"/>
      <c r="E316" s="12"/>
      <c r="F316" s="12"/>
      <c r="G316" s="12"/>
      <c r="H316" s="12"/>
      <c r="I316" s="12"/>
      <c r="J316" s="12"/>
      <c r="K316" s="12"/>
      <c r="L316" s="12"/>
      <c r="M316" s="12"/>
      <c r="N316" s="12" t="s">
        <v>1629</v>
      </c>
      <c r="O316" s="12"/>
      <c r="P316" s="12"/>
      <c r="Q316" s="12"/>
      <c r="R316" s="12"/>
      <c r="S316" s="12"/>
      <c r="T316" s="12"/>
      <c r="U316" s="12"/>
      <c r="V316" s="12"/>
      <c r="W316" s="12"/>
      <c r="X316" s="12"/>
      <c r="Y316" s="12"/>
      <c r="Z316" s="12"/>
      <c r="AA316" s="12"/>
      <c r="AB316" s="12"/>
      <c r="AC316" s="12"/>
      <c r="AD316" s="17"/>
    </row>
    <row r="317" spans="2:30" s="3" customFormat="1" ht="54" x14ac:dyDescent="0.25">
      <c r="B317" s="10" t="s">
        <v>562</v>
      </c>
      <c r="C317" s="25" t="s">
        <v>563</v>
      </c>
      <c r="D317" s="16"/>
      <c r="E317" s="12"/>
      <c r="F317" s="12"/>
      <c r="G317" s="12"/>
      <c r="H317" s="12"/>
      <c r="I317" s="12"/>
      <c r="J317" s="12"/>
      <c r="K317" s="12"/>
      <c r="L317" s="12"/>
      <c r="M317" s="12"/>
      <c r="N317" s="12" t="s">
        <v>1562</v>
      </c>
      <c r="O317" s="12"/>
      <c r="P317" s="12"/>
      <c r="Q317" s="12"/>
      <c r="R317" s="12"/>
      <c r="S317" s="12"/>
      <c r="T317" s="12"/>
      <c r="U317" s="12"/>
      <c r="V317" s="12"/>
      <c r="W317" s="12"/>
      <c r="X317" s="12"/>
      <c r="Y317" s="12"/>
      <c r="Z317" s="12"/>
      <c r="AA317" s="12"/>
      <c r="AB317" s="12"/>
      <c r="AC317" s="12"/>
      <c r="AD317" s="17"/>
    </row>
    <row r="318" spans="2:30" s="3" customFormat="1" ht="13.5" x14ac:dyDescent="0.25">
      <c r="B318" s="10" t="s">
        <v>564</v>
      </c>
      <c r="C318" s="25" t="s">
        <v>565</v>
      </c>
      <c r="D318" s="16" t="str">
        <f>VLOOKUP(B318,'[1]ART 1'!A:E,5,FALSE)</f>
        <v>5</v>
      </c>
      <c r="E318" s="12"/>
      <c r="F318" s="12"/>
      <c r="G318" s="12"/>
      <c r="H318" s="12" t="str">
        <f>VLOOKUP(B318,'[1]ART IV'!A:E,5,FALSE)</f>
        <v xml:space="preserve">Ex. </v>
      </c>
      <c r="I318" s="12"/>
      <c r="J318" s="12"/>
      <c r="K318" s="12"/>
      <c r="L318" s="12"/>
      <c r="M318" s="12"/>
      <c r="N318" s="12" t="s">
        <v>1570</v>
      </c>
      <c r="O318" s="12"/>
      <c r="P318" s="12"/>
      <c r="Q318" s="12"/>
      <c r="R318" s="12"/>
      <c r="S318" s="12"/>
      <c r="T318" s="12"/>
      <c r="U318" s="12"/>
      <c r="V318" s="12"/>
      <c r="W318" s="12"/>
      <c r="X318" s="12"/>
      <c r="Y318" s="12"/>
      <c r="Z318" s="12"/>
      <c r="AA318" s="12"/>
      <c r="AB318" s="12"/>
      <c r="AC318" s="12"/>
      <c r="AD318" s="17"/>
    </row>
    <row r="319" spans="2:30" s="3" customFormat="1" ht="13.5" x14ac:dyDescent="0.25">
      <c r="B319" s="21" t="s">
        <v>566</v>
      </c>
      <c r="C319" s="25" t="s">
        <v>567</v>
      </c>
      <c r="D319" s="16" t="str">
        <f>VLOOKUP(B319,'[1]ART 1'!A:E,5,FALSE)</f>
        <v>5</v>
      </c>
      <c r="E319" s="12" t="str">
        <f>VLOOKUP(B319,'[1]ART 2 A)'!A:E,5,FALSE)</f>
        <v>Ex.</v>
      </c>
      <c r="F319" s="12"/>
      <c r="G319" s="12" t="str">
        <f>VLOOKUP(B319,'[1]ART 3'!A:E,5,FALSE)</f>
        <v xml:space="preserve">Ex. </v>
      </c>
      <c r="H319" s="12" t="str">
        <f>VLOOKUP(B319,'[1]ART IV'!A:E,5,FALSE)</f>
        <v xml:space="preserve">Ex. </v>
      </c>
      <c r="I319" s="12"/>
      <c r="J319" s="12"/>
      <c r="K319" s="12" t="str">
        <f>VLOOKUP(B319,'[1]ART 7'!A:E,5,FALSE)</f>
        <v xml:space="preserve">5 </v>
      </c>
      <c r="L319" s="12"/>
      <c r="M319" s="12"/>
      <c r="N319" s="12" t="s">
        <v>1570</v>
      </c>
      <c r="O319" s="12"/>
      <c r="P319" s="12"/>
      <c r="Q319" s="12" t="s">
        <v>1570</v>
      </c>
      <c r="R319" s="12"/>
      <c r="S319" s="12"/>
      <c r="T319" s="12"/>
      <c r="U319" s="12"/>
      <c r="V319" s="12"/>
      <c r="W319" s="12"/>
      <c r="X319" s="12" t="s">
        <v>1562</v>
      </c>
      <c r="Y319" s="12"/>
      <c r="Z319" s="12"/>
      <c r="AA319" s="12"/>
      <c r="AB319" s="12"/>
      <c r="AC319" s="12"/>
      <c r="AD319" s="17"/>
    </row>
    <row r="320" spans="2:30" s="3" customFormat="1" ht="54" x14ac:dyDescent="0.25">
      <c r="B320" s="21" t="s">
        <v>568</v>
      </c>
      <c r="C320" s="25" t="s">
        <v>569</v>
      </c>
      <c r="D320" s="16"/>
      <c r="E320" s="12" t="str">
        <f>VLOOKUP(B320,'[1]ART 2 A)'!A:E,5,FALSE)</f>
        <v>Ex.</v>
      </c>
      <c r="F320" s="12"/>
      <c r="G320" s="12" t="str">
        <f>VLOOKUP(B320,'[1]ART 3'!A:E,5,FALSE)</f>
        <v>Ex. Excepto: De anchura superior a 1800 mm.</v>
      </c>
      <c r="H320" s="12" t="str">
        <f>VLOOKUP(B320,'[1]ART IV'!A:E,5,FALSE)</f>
        <v xml:space="preserve">Ex. Excepto: De anchura superior a 1800 mm. </v>
      </c>
      <c r="I320" s="12"/>
      <c r="J320" s="12"/>
      <c r="K320" s="12"/>
      <c r="L320" s="12"/>
      <c r="M320" s="12" t="str">
        <f>VLOOKUP(B320,'[1]ART 9'!A:E,5,FALSE)</f>
        <v>Ex. Excepto: De anchura superior a 1,800 mm.</v>
      </c>
      <c r="N320" s="12"/>
      <c r="O320" s="12"/>
      <c r="P320" s="12"/>
      <c r="Q320" s="12"/>
      <c r="R320" s="12"/>
      <c r="S320" s="12"/>
      <c r="T320" s="12"/>
      <c r="U320" s="12"/>
      <c r="V320" s="12"/>
      <c r="W320" s="12"/>
      <c r="X320" s="12" t="s">
        <v>1562</v>
      </c>
      <c r="Y320" s="12"/>
      <c r="Z320" s="12"/>
      <c r="AA320" s="12"/>
      <c r="AB320" s="12"/>
      <c r="AC320" s="12"/>
      <c r="AD320" s="17"/>
    </row>
    <row r="321" spans="2:30" s="3" customFormat="1" ht="27" x14ac:dyDescent="0.25">
      <c r="B321" s="21" t="s">
        <v>570</v>
      </c>
      <c r="C321" s="25" t="s">
        <v>571</v>
      </c>
      <c r="D321" s="16"/>
      <c r="E321" s="12" t="str">
        <f>VLOOKUP(B321,'[1]ART 2 A)'!A:E,5,FALSE)</f>
        <v>Ex.</v>
      </c>
      <c r="F321" s="12"/>
      <c r="G321" s="12" t="str">
        <f>VLOOKUP(B321,'[1]ART 3'!A:E,5,FALSE)</f>
        <v xml:space="preserve">Ex. </v>
      </c>
      <c r="H321" s="12" t="str">
        <f>VLOOKUP(B321,'[1]ART IV'!A:E,5,FALSE)</f>
        <v xml:space="preserve">Ex. </v>
      </c>
      <c r="I321" s="12"/>
      <c r="J321" s="12"/>
      <c r="K321" s="12"/>
      <c r="L321" s="12" t="str">
        <f>VLOOKUP(B321,'[1]ART 8'!A:E,5,FALSE)</f>
        <v xml:space="preserve">Ex. </v>
      </c>
      <c r="M321" s="12"/>
      <c r="N321" s="12"/>
      <c r="O321" s="12"/>
      <c r="P321" s="12"/>
      <c r="Q321" s="12"/>
      <c r="R321" s="12"/>
      <c r="S321" s="12"/>
      <c r="T321" s="12"/>
      <c r="U321" s="12"/>
      <c r="V321" s="12"/>
      <c r="W321" s="12"/>
      <c r="X321" s="12" t="s">
        <v>1562</v>
      </c>
      <c r="Y321" s="12"/>
      <c r="Z321" s="12"/>
      <c r="AA321" s="12"/>
      <c r="AB321" s="12"/>
      <c r="AC321" s="12"/>
      <c r="AD321" s="17"/>
    </row>
    <row r="322" spans="2:30" s="3" customFormat="1" ht="13.5" x14ac:dyDescent="0.25">
      <c r="B322" s="21" t="s">
        <v>572</v>
      </c>
      <c r="C322" s="25" t="s">
        <v>573</v>
      </c>
      <c r="D322" s="16"/>
      <c r="E322" s="12" t="str">
        <f>VLOOKUP(B322,'[1]ART 2 A)'!A:E,5,FALSE)</f>
        <v>Ex.</v>
      </c>
      <c r="F322" s="12"/>
      <c r="G322" s="12"/>
      <c r="H322" s="12" t="str">
        <f>VLOOKUP(B322,'[1]ART IV'!A:E,5,FALSE)</f>
        <v xml:space="preserve">Ex. </v>
      </c>
      <c r="I322" s="12"/>
      <c r="J322" s="12"/>
      <c r="K322" s="12"/>
      <c r="L322" s="12" t="str">
        <f>VLOOKUP(B322,'[1]ART 8'!A:E,5,FALSE)</f>
        <v xml:space="preserve">Ex. </v>
      </c>
      <c r="M322" s="12" t="str">
        <f>VLOOKUP(B322,'[1]ART 9'!A:E,5,FALSE)</f>
        <v xml:space="preserve">Ex. </v>
      </c>
      <c r="N322" s="12"/>
      <c r="O322" s="12"/>
      <c r="P322" s="12"/>
      <c r="Q322" s="12"/>
      <c r="R322" s="12"/>
      <c r="S322" s="12"/>
      <c r="T322" s="12"/>
      <c r="U322" s="12"/>
      <c r="V322" s="12"/>
      <c r="W322" s="12"/>
      <c r="X322" s="12" t="s">
        <v>1562</v>
      </c>
      <c r="Y322" s="12"/>
      <c r="Z322" s="12"/>
      <c r="AA322" s="12"/>
      <c r="AB322" s="12"/>
      <c r="AC322" s="12"/>
      <c r="AD322" s="17"/>
    </row>
    <row r="323" spans="2:30" s="3" customFormat="1" ht="13.5" x14ac:dyDescent="0.25">
      <c r="B323" s="21" t="s">
        <v>574</v>
      </c>
      <c r="C323" s="25" t="s">
        <v>157</v>
      </c>
      <c r="D323" s="16"/>
      <c r="E323" s="12"/>
      <c r="F323" s="12"/>
      <c r="G323" s="12"/>
      <c r="H323" s="12"/>
      <c r="I323" s="12"/>
      <c r="J323" s="12"/>
      <c r="K323" s="12"/>
      <c r="L323" s="12"/>
      <c r="M323" s="12" t="str">
        <f>VLOOKUP(B323,'[1]ART 9'!A:E,5,FALSE)</f>
        <v xml:space="preserve">Ex. </v>
      </c>
      <c r="N323" s="12"/>
      <c r="O323" s="12"/>
      <c r="P323" s="12"/>
      <c r="Q323" s="12"/>
      <c r="R323" s="12"/>
      <c r="S323" s="12"/>
      <c r="T323" s="12"/>
      <c r="U323" s="12"/>
      <c r="V323" s="12"/>
      <c r="W323" s="12"/>
      <c r="X323" s="12" t="s">
        <v>1562</v>
      </c>
      <c r="Y323" s="12"/>
      <c r="Z323" s="12"/>
      <c r="AA323" s="12"/>
      <c r="AB323" s="12"/>
      <c r="AC323" s="12"/>
      <c r="AD323" s="17"/>
    </row>
    <row r="324" spans="2:30" s="3" customFormat="1" ht="13.5" x14ac:dyDescent="0.25">
      <c r="B324" s="21" t="s">
        <v>575</v>
      </c>
      <c r="C324" s="25" t="s">
        <v>576</v>
      </c>
      <c r="D324" s="16"/>
      <c r="E324" s="12" t="str">
        <f>VLOOKUP(B324,'[1]ART 2 A)'!A:E,5,FALSE)</f>
        <v>Ex.</v>
      </c>
      <c r="F324" s="12"/>
      <c r="G324" s="12"/>
      <c r="H324" s="12"/>
      <c r="I324" s="12"/>
      <c r="J324" s="12"/>
      <c r="K324" s="12"/>
      <c r="L324" s="12"/>
      <c r="M324" s="12"/>
      <c r="N324" s="12"/>
      <c r="O324" s="12"/>
      <c r="P324" s="12" t="s">
        <v>1562</v>
      </c>
      <c r="Q324" s="12"/>
      <c r="R324" s="12"/>
      <c r="S324" s="12"/>
      <c r="T324" s="12"/>
      <c r="U324" s="12"/>
      <c r="V324" s="12"/>
      <c r="W324" s="12"/>
      <c r="X324" s="12"/>
      <c r="Y324" s="12"/>
      <c r="Z324" s="12"/>
      <c r="AA324" s="12"/>
      <c r="AB324" s="12"/>
      <c r="AC324" s="12"/>
      <c r="AD324" s="17"/>
    </row>
    <row r="325" spans="2:30" s="3" customFormat="1" ht="13.5" x14ac:dyDescent="0.25">
      <c r="B325" s="21" t="s">
        <v>577</v>
      </c>
      <c r="C325" s="25" t="s">
        <v>578</v>
      </c>
      <c r="D325" s="16"/>
      <c r="E325" s="12" t="str">
        <f>VLOOKUP(B325,'[1]ART 2 A)'!A:E,5,FALSE)</f>
        <v>Ex.</v>
      </c>
      <c r="F325" s="12"/>
      <c r="G325" s="12"/>
      <c r="H325" s="12"/>
      <c r="I325" s="12"/>
      <c r="J325" s="12"/>
      <c r="K325" s="12"/>
      <c r="L325" s="12"/>
      <c r="M325" s="12"/>
      <c r="N325" s="12"/>
      <c r="O325" s="12"/>
      <c r="P325" s="12" t="s">
        <v>1562</v>
      </c>
      <c r="Q325" s="12"/>
      <c r="R325" s="12"/>
      <c r="S325" s="12"/>
      <c r="T325" s="12"/>
      <c r="U325" s="12"/>
      <c r="V325" s="12"/>
      <c r="W325" s="12"/>
      <c r="X325" s="12"/>
      <c r="Y325" s="12"/>
      <c r="Z325" s="12"/>
      <c r="AA325" s="12"/>
      <c r="AB325" s="12"/>
      <c r="AC325" s="12"/>
      <c r="AD325" s="17"/>
    </row>
    <row r="326" spans="2:30" s="3" customFormat="1" ht="27" x14ac:dyDescent="0.25">
      <c r="B326" s="21" t="s">
        <v>579</v>
      </c>
      <c r="C326" s="25" t="s">
        <v>580</v>
      </c>
      <c r="D326" s="16"/>
      <c r="E326" s="12" t="str">
        <f>VLOOKUP(B326,'[1]ART 2 A)'!A:E,5,FALSE)</f>
        <v>Ex.</v>
      </c>
      <c r="F326" s="12"/>
      <c r="G326" s="12"/>
      <c r="H326" s="12"/>
      <c r="I326" s="12"/>
      <c r="J326" s="12"/>
      <c r="K326" s="12"/>
      <c r="L326" s="12"/>
      <c r="M326" s="12"/>
      <c r="N326" s="12"/>
      <c r="O326" s="12"/>
      <c r="P326" s="12" t="s">
        <v>1562</v>
      </c>
      <c r="Q326" s="12"/>
      <c r="R326" s="12"/>
      <c r="S326" s="12"/>
      <c r="T326" s="12"/>
      <c r="U326" s="12"/>
      <c r="V326" s="12"/>
      <c r="W326" s="12"/>
      <c r="X326" s="12"/>
      <c r="Y326" s="12"/>
      <c r="Z326" s="12"/>
      <c r="AA326" s="12"/>
      <c r="AB326" s="12"/>
      <c r="AC326" s="12"/>
      <c r="AD326" s="17"/>
    </row>
    <row r="327" spans="2:30" s="3" customFormat="1" ht="13.5" x14ac:dyDescent="0.25">
      <c r="B327" s="21" t="s">
        <v>581</v>
      </c>
      <c r="C327" s="25" t="s">
        <v>157</v>
      </c>
      <c r="D327" s="16"/>
      <c r="E327" s="12" t="str">
        <f>VLOOKUP(B327,'[1]ART 2 A)'!A:E,5,FALSE)</f>
        <v>Ex.</v>
      </c>
      <c r="F327" s="12"/>
      <c r="G327" s="12"/>
      <c r="H327" s="12"/>
      <c r="I327" s="12"/>
      <c r="J327" s="12"/>
      <c r="K327" s="12"/>
      <c r="L327" s="12"/>
      <c r="M327" s="12"/>
      <c r="N327" s="12"/>
      <c r="O327" s="12"/>
      <c r="P327" s="12"/>
      <c r="Q327" s="12"/>
      <c r="R327" s="12"/>
      <c r="S327" s="12"/>
      <c r="T327" s="12"/>
      <c r="U327" s="12"/>
      <c r="V327" s="12"/>
      <c r="W327" s="12"/>
      <c r="X327" s="12" t="s">
        <v>1562</v>
      </c>
      <c r="Y327" s="12"/>
      <c r="Z327" s="12"/>
      <c r="AA327" s="12"/>
      <c r="AB327" s="12"/>
      <c r="AC327" s="12"/>
      <c r="AD327" s="17"/>
    </row>
    <row r="328" spans="2:30" s="3" customFormat="1" ht="13.5" x14ac:dyDescent="0.25">
      <c r="B328" s="21" t="s">
        <v>582</v>
      </c>
      <c r="C328" s="25" t="s">
        <v>157</v>
      </c>
      <c r="D328" s="16"/>
      <c r="E328" s="12" t="str">
        <f>VLOOKUP(B328,'[1]ART 2 A)'!A:E,5,FALSE)</f>
        <v>Ex.</v>
      </c>
      <c r="F328" s="12"/>
      <c r="G328" s="12"/>
      <c r="H328" s="12"/>
      <c r="I328" s="12"/>
      <c r="J328" s="12"/>
      <c r="K328" s="12"/>
      <c r="L328" s="12"/>
      <c r="M328" s="12"/>
      <c r="N328" s="12"/>
      <c r="O328" s="12"/>
      <c r="P328" s="12" t="s">
        <v>1562</v>
      </c>
      <c r="Q328" s="12"/>
      <c r="R328" s="12"/>
      <c r="S328" s="12"/>
      <c r="T328" s="12"/>
      <c r="U328" s="12"/>
      <c r="V328" s="12"/>
      <c r="W328" s="12"/>
      <c r="X328" s="12"/>
      <c r="Y328" s="12"/>
      <c r="Z328" s="12"/>
      <c r="AA328" s="12"/>
      <c r="AB328" s="12"/>
      <c r="AC328" s="12"/>
      <c r="AD328" s="17"/>
    </row>
    <row r="329" spans="2:30" s="3" customFormat="1" ht="13.5" x14ac:dyDescent="0.25">
      <c r="B329" s="21" t="s">
        <v>583</v>
      </c>
      <c r="C329" s="25" t="s">
        <v>157</v>
      </c>
      <c r="D329" s="16"/>
      <c r="E329" s="12" t="str">
        <f>VLOOKUP(B329,'[1]ART 2 A)'!A:E,5,FALSE)</f>
        <v>Ex.</v>
      </c>
      <c r="F329" s="12"/>
      <c r="G329" s="12"/>
      <c r="H329" s="12"/>
      <c r="I329" s="12"/>
      <c r="J329" s="12"/>
      <c r="K329" s="12"/>
      <c r="L329" s="12"/>
      <c r="M329" s="12"/>
      <c r="N329" s="12"/>
      <c r="O329" s="12"/>
      <c r="P329" s="12" t="s">
        <v>1562</v>
      </c>
      <c r="Q329" s="12"/>
      <c r="R329" s="12"/>
      <c r="S329" s="12"/>
      <c r="T329" s="12"/>
      <c r="U329" s="12"/>
      <c r="V329" s="12"/>
      <c r="W329" s="12"/>
      <c r="X329" s="12"/>
      <c r="Y329" s="12"/>
      <c r="Z329" s="12"/>
      <c r="AA329" s="12"/>
      <c r="AB329" s="12"/>
      <c r="AC329" s="12"/>
      <c r="AD329" s="17"/>
    </row>
    <row r="330" spans="2:30" s="3" customFormat="1" ht="27" x14ac:dyDescent="0.25">
      <c r="B330" s="21" t="s">
        <v>584</v>
      </c>
      <c r="C330" s="25" t="s">
        <v>585</v>
      </c>
      <c r="D330" s="16"/>
      <c r="E330" s="12" t="str">
        <f>VLOOKUP(B330,'[1]ART 2 A)'!A:E,5,FALSE)</f>
        <v>Ex.</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7"/>
    </row>
    <row r="331" spans="2:30" s="3" customFormat="1" ht="13.5" x14ac:dyDescent="0.25">
      <c r="B331" s="21" t="s">
        <v>586</v>
      </c>
      <c r="C331" s="25" t="s">
        <v>53</v>
      </c>
      <c r="D331" s="16" t="str">
        <f>VLOOKUP(B331,'[1]ART 1'!A:E,5,FALSE)</f>
        <v>5</v>
      </c>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7"/>
    </row>
    <row r="332" spans="2:30" s="3" customFormat="1" ht="13.5" x14ac:dyDescent="0.25">
      <c r="B332" s="21" t="s">
        <v>587</v>
      </c>
      <c r="C332" s="25" t="s">
        <v>157</v>
      </c>
      <c r="D332" s="16" t="str">
        <f>VLOOKUP(B332,'[1]ART 1'!A:E,5,FALSE)</f>
        <v>5</v>
      </c>
      <c r="E332" s="12" t="str">
        <f>VLOOKUP(B332,'[1]ART 2 A)'!A:E,5,FALSE)</f>
        <v>Ex.</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7"/>
    </row>
    <row r="333" spans="2:30" s="3" customFormat="1" ht="135" x14ac:dyDescent="0.25">
      <c r="B333" s="9" t="s">
        <v>588</v>
      </c>
      <c r="C333" s="25" t="s">
        <v>589</v>
      </c>
      <c r="D333" s="16"/>
      <c r="E333" s="12"/>
      <c r="F333" s="12"/>
      <c r="G333" s="12"/>
      <c r="H333" s="12"/>
      <c r="I333" s="12"/>
      <c r="J333" s="12"/>
      <c r="K333" s="12"/>
      <c r="L333" s="12"/>
      <c r="M333" s="12"/>
      <c r="N333" s="12" t="s">
        <v>1630</v>
      </c>
      <c r="O333" s="12"/>
      <c r="P333" s="12"/>
      <c r="Q333" s="12"/>
      <c r="R333" s="12"/>
      <c r="S333" s="12"/>
      <c r="T333" s="12"/>
      <c r="U333" s="12"/>
      <c r="V333" s="12"/>
      <c r="W333" s="12"/>
      <c r="X333" s="12"/>
      <c r="Y333" s="12"/>
      <c r="Z333" s="12"/>
      <c r="AA333" s="12"/>
      <c r="AB333" s="12"/>
      <c r="AC333" s="12"/>
      <c r="AD333" s="17"/>
    </row>
    <row r="334" spans="2:30" s="3" customFormat="1" ht="40.5" x14ac:dyDescent="0.25">
      <c r="B334" s="9" t="s">
        <v>590</v>
      </c>
      <c r="C334" s="25" t="s">
        <v>591</v>
      </c>
      <c r="D334" s="16"/>
      <c r="E334" s="12"/>
      <c r="F334" s="12"/>
      <c r="G334" s="12"/>
      <c r="H334" s="12"/>
      <c r="I334" s="12"/>
      <c r="J334" s="12"/>
      <c r="K334" s="12"/>
      <c r="L334" s="12"/>
      <c r="M334" s="12"/>
      <c r="N334" s="12" t="s">
        <v>1570</v>
      </c>
      <c r="O334" s="12"/>
      <c r="P334" s="12"/>
      <c r="Q334" s="12"/>
      <c r="R334" s="12"/>
      <c r="S334" s="12"/>
      <c r="T334" s="12"/>
      <c r="U334" s="12"/>
      <c r="V334" s="12"/>
      <c r="W334" s="12"/>
      <c r="X334" s="12"/>
      <c r="Y334" s="12"/>
      <c r="Z334" s="12"/>
      <c r="AA334" s="12"/>
      <c r="AB334" s="12"/>
      <c r="AC334" s="12"/>
      <c r="AD334" s="17"/>
    </row>
    <row r="335" spans="2:30" s="3" customFormat="1" ht="94.5" x14ac:dyDescent="0.25">
      <c r="B335" s="9" t="s">
        <v>592</v>
      </c>
      <c r="C335" s="25" t="s">
        <v>593</v>
      </c>
      <c r="D335" s="16"/>
      <c r="E335" s="12"/>
      <c r="F335" s="12"/>
      <c r="G335" s="12"/>
      <c r="H335" s="12"/>
      <c r="I335" s="12"/>
      <c r="J335" s="12"/>
      <c r="K335" s="12"/>
      <c r="L335" s="12"/>
      <c r="M335" s="12"/>
      <c r="N335" s="12" t="s">
        <v>1631</v>
      </c>
      <c r="O335" s="12"/>
      <c r="P335" s="12"/>
      <c r="Q335" s="12"/>
      <c r="R335" s="12"/>
      <c r="S335" s="12"/>
      <c r="T335" s="12"/>
      <c r="U335" s="12"/>
      <c r="V335" s="12"/>
      <c r="W335" s="12"/>
      <c r="X335" s="12" t="s">
        <v>1632</v>
      </c>
      <c r="Y335" s="12"/>
      <c r="Z335" s="12"/>
      <c r="AA335" s="12"/>
      <c r="AB335" s="12"/>
      <c r="AC335" s="12"/>
      <c r="AD335" s="17"/>
    </row>
    <row r="336" spans="2:30" s="3" customFormat="1" ht="121.5" x14ac:dyDescent="0.25">
      <c r="B336" s="9" t="s">
        <v>594</v>
      </c>
      <c r="C336" s="25" t="s">
        <v>595</v>
      </c>
      <c r="D336" s="16"/>
      <c r="E336" s="12"/>
      <c r="F336" s="12"/>
      <c r="G336" s="12" t="str">
        <f>VLOOKUP(B336,'[1]ART 3'!A:E,5,FALSE)</f>
        <v>Ex. Excepto: De vidrio flotado claro</v>
      </c>
      <c r="H336" s="12"/>
      <c r="I336" s="12"/>
      <c r="J336" s="12"/>
      <c r="K336" s="12"/>
      <c r="L336" s="12"/>
      <c r="M336" s="12"/>
      <c r="N336" s="12"/>
      <c r="O336" s="12"/>
      <c r="P336" s="12"/>
      <c r="Q336" s="12"/>
      <c r="R336" s="12"/>
      <c r="S336" s="12"/>
      <c r="T336" s="12"/>
      <c r="U336" s="12"/>
      <c r="V336" s="12"/>
      <c r="W336" s="12"/>
      <c r="X336" s="12" t="s">
        <v>1633</v>
      </c>
      <c r="Y336" s="12"/>
      <c r="Z336" s="12"/>
      <c r="AA336" s="12"/>
      <c r="AB336" s="12"/>
      <c r="AC336" s="12"/>
      <c r="AD336" s="17"/>
    </row>
    <row r="337" spans="2:30" s="3" customFormat="1" ht="121.5" x14ac:dyDescent="0.25">
      <c r="B337" s="9" t="s">
        <v>596</v>
      </c>
      <c r="C337" s="25" t="s">
        <v>597</v>
      </c>
      <c r="D337" s="16" t="str">
        <f>VLOOKUP(B337,'[1]ART 1'!A:E,5,FALSE)</f>
        <v>5Excepto: Estriado, ondulado y estampado; flotado claro; flotado, coloreados en la masa.</v>
      </c>
      <c r="E337" s="12"/>
      <c r="F337" s="12" t="str">
        <f>VLOOKUP(B337,'[1]ART 2 B)'!A:E,5,FALSE)</f>
        <v>Ex. Excepto: Estriado, ondulado y estampado; flotado claro; flotado, coloreados en la masa.</v>
      </c>
      <c r="G337" s="12" t="str">
        <f>VLOOKUP(B337,'[1]ART 3'!A:E,5,FALSE)</f>
        <v>Ex. Excepto: Flotado claro; Flotado, coloreados en la masa.</v>
      </c>
      <c r="H337" s="12"/>
      <c r="I337" s="12"/>
      <c r="J337" s="12"/>
      <c r="K337" s="12"/>
      <c r="L337" s="12" t="str">
        <f>VLOOKUP(B337,'[1]ART 8'!A:E,5,FALSE)</f>
        <v>5 Excepto: Estriado, ondulado y estampado; flotado claro; flotado, coloreados en la masa.</v>
      </c>
      <c r="M337" s="12"/>
      <c r="N337" s="12" t="s">
        <v>1634</v>
      </c>
      <c r="O337" s="12"/>
      <c r="P337" s="12"/>
      <c r="Q337" s="12"/>
      <c r="R337" s="12"/>
      <c r="S337" s="12"/>
      <c r="T337" s="12"/>
      <c r="U337" s="12"/>
      <c r="V337" s="12" t="s">
        <v>1635</v>
      </c>
      <c r="W337" s="12"/>
      <c r="X337" s="12" t="s">
        <v>1636</v>
      </c>
      <c r="Y337" s="12"/>
      <c r="Z337" s="12"/>
      <c r="AA337" s="12"/>
      <c r="AB337" s="12"/>
      <c r="AC337" s="12"/>
      <c r="AD337" s="17"/>
    </row>
    <row r="338" spans="2:30" s="3" customFormat="1" ht="216" x14ac:dyDescent="0.25">
      <c r="B338" s="9" t="s">
        <v>598</v>
      </c>
      <c r="C338" s="25" t="s">
        <v>599</v>
      </c>
      <c r="D338" s="16" t="str">
        <f>VLOOKUP(B338,'[1]ART 1'!A:E,5,FALSE)</f>
        <v>5Excepto: Vidrios laterales, claros, planos o curvos para uso automotriz; medallones sombreados, de color o polarizados, planos o curvos, para uso automotriz.</v>
      </c>
      <c r="E338" s="12"/>
      <c r="F338" s="12"/>
      <c r="G338" s="12"/>
      <c r="H338" s="12"/>
      <c r="I338" s="12"/>
      <c r="J338" s="12"/>
      <c r="K338" s="12"/>
      <c r="L338" s="12"/>
      <c r="M338" s="12"/>
      <c r="N338" s="12"/>
      <c r="O338" s="12"/>
      <c r="P338" s="12"/>
      <c r="Q338" s="12"/>
      <c r="R338" s="12"/>
      <c r="S338" s="12" t="s">
        <v>1637</v>
      </c>
      <c r="T338" s="12"/>
      <c r="U338" s="12"/>
      <c r="V338" s="12"/>
      <c r="W338" s="12"/>
      <c r="X338" s="12" t="s">
        <v>1562</v>
      </c>
      <c r="Y338" s="12"/>
      <c r="Z338" s="12"/>
      <c r="AA338" s="12"/>
      <c r="AB338" s="12"/>
      <c r="AC338" s="12"/>
      <c r="AD338" s="17"/>
    </row>
    <row r="339" spans="2:30" s="3" customFormat="1" ht="216" x14ac:dyDescent="0.25">
      <c r="B339" s="9" t="s">
        <v>600</v>
      </c>
      <c r="C339" s="25" t="s">
        <v>601</v>
      </c>
      <c r="D339" s="16" t="str">
        <f>VLOOKUP(B339,'[1]ART 1'!A:E,5,FALSE)</f>
        <v>5</v>
      </c>
      <c r="E339" s="12" t="str">
        <f>VLOOKUP(B339,'[1]ART 2 A)'!A:E,5,FALSE)</f>
        <v>Ex.</v>
      </c>
      <c r="F339" s="12"/>
      <c r="G339" s="12"/>
      <c r="H339" s="12"/>
      <c r="I339" s="12"/>
      <c r="J339" s="12"/>
      <c r="K339" s="12"/>
      <c r="L339" s="12"/>
      <c r="M339" s="12"/>
      <c r="N339" s="12" t="s">
        <v>1638</v>
      </c>
      <c r="O339" s="12" t="s">
        <v>1639</v>
      </c>
      <c r="P339" s="12" t="s">
        <v>1639</v>
      </c>
      <c r="Q339" s="12"/>
      <c r="R339" s="12"/>
      <c r="S339" s="12"/>
      <c r="T339" s="12"/>
      <c r="U339" s="12"/>
      <c r="V339" s="12"/>
      <c r="W339" s="12"/>
      <c r="X339" s="12" t="s">
        <v>1562</v>
      </c>
      <c r="Y339" s="12"/>
      <c r="Z339" s="12"/>
      <c r="AA339" s="12"/>
      <c r="AB339" s="12"/>
      <c r="AC339" s="12"/>
      <c r="AD339" s="17"/>
    </row>
    <row r="340" spans="2:30" s="3" customFormat="1" ht="40.5" x14ac:dyDescent="0.25">
      <c r="B340" s="9" t="s">
        <v>602</v>
      </c>
      <c r="C340" s="25" t="s">
        <v>603</v>
      </c>
      <c r="D340" s="16"/>
      <c r="E340" s="12"/>
      <c r="F340" s="12"/>
      <c r="G340" s="12"/>
      <c r="H340" s="12"/>
      <c r="I340" s="12"/>
      <c r="J340" s="12"/>
      <c r="K340" s="12"/>
      <c r="L340" s="12"/>
      <c r="M340" s="12"/>
      <c r="N340" s="12"/>
      <c r="O340" s="12"/>
      <c r="P340" s="12"/>
      <c r="Q340" s="12"/>
      <c r="R340" s="12"/>
      <c r="S340" s="12"/>
      <c r="T340" s="12"/>
      <c r="U340" s="12"/>
      <c r="V340" s="12"/>
      <c r="W340" s="12"/>
      <c r="X340" s="12" t="s">
        <v>1562</v>
      </c>
      <c r="Y340" s="12"/>
      <c r="Z340" s="12"/>
      <c r="AA340" s="12"/>
      <c r="AB340" s="12"/>
      <c r="AC340" s="12"/>
      <c r="AD340" s="17"/>
    </row>
    <row r="341" spans="2:30" s="3" customFormat="1" ht="13.5" x14ac:dyDescent="0.25">
      <c r="B341" s="9" t="s">
        <v>604</v>
      </c>
      <c r="C341" s="25" t="s">
        <v>53</v>
      </c>
      <c r="D341" s="16" t="str">
        <f>VLOOKUP(B341,'[1]ART 1'!A:E,5,FALSE)</f>
        <v>5</v>
      </c>
      <c r="E341" s="12" t="str">
        <f>VLOOKUP(B341,'[1]ART 2 A)'!A:E,5,FALSE)</f>
        <v>Ex.</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7"/>
    </row>
    <row r="342" spans="2:30" s="3" customFormat="1" ht="94.5" x14ac:dyDescent="0.25">
      <c r="B342" s="9" t="s">
        <v>605</v>
      </c>
      <c r="C342" s="25" t="s">
        <v>606</v>
      </c>
      <c r="D342" s="16"/>
      <c r="E342" s="12" t="str">
        <f>VLOOKUP(B342,'[1]ART 2 A)'!A:E,5,FALSE)</f>
        <v>Ex.Excepto: Con control remoto; con marco de uso automotriz y/o deportivos.</v>
      </c>
      <c r="F342" s="12"/>
      <c r="G342" s="12"/>
      <c r="H342" s="12"/>
      <c r="I342" s="12"/>
      <c r="J342" s="12"/>
      <c r="K342" s="12"/>
      <c r="L342" s="12"/>
      <c r="M342" s="12"/>
      <c r="N342" s="12"/>
      <c r="O342" s="12"/>
      <c r="P342" s="12"/>
      <c r="Q342" s="12"/>
      <c r="R342" s="12"/>
      <c r="S342" s="12" t="s">
        <v>1640</v>
      </c>
      <c r="T342" s="12" t="s">
        <v>1641</v>
      </c>
      <c r="U342" s="12"/>
      <c r="V342" s="12"/>
      <c r="W342" s="12"/>
      <c r="X342" s="12" t="s">
        <v>1642</v>
      </c>
      <c r="Y342" s="12"/>
      <c r="Z342" s="12"/>
      <c r="AA342" s="12"/>
      <c r="AB342" s="12"/>
      <c r="AC342" s="12"/>
      <c r="AD342" s="17"/>
    </row>
    <row r="343" spans="2:30" s="3" customFormat="1" ht="13.5" x14ac:dyDescent="0.25">
      <c r="B343" s="9" t="s">
        <v>607</v>
      </c>
      <c r="C343" s="25" t="s">
        <v>53</v>
      </c>
      <c r="D343" s="16"/>
      <c r="E343" s="12" t="str">
        <f>VLOOKUP(B343,'[1]ART 2 A)'!A:E,5,FALSE)</f>
        <v>Ex.</v>
      </c>
      <c r="F343" s="12"/>
      <c r="G343" s="12" t="str">
        <f>VLOOKUP(B343,'[1]ART 3'!A:E,5,FALSE)</f>
        <v xml:space="preserve">Ex. </v>
      </c>
      <c r="H343" s="12"/>
      <c r="I343" s="12"/>
      <c r="J343" s="12"/>
      <c r="K343" s="12"/>
      <c r="L343" s="12"/>
      <c r="M343" s="12"/>
      <c r="N343" s="12"/>
      <c r="O343" s="12"/>
      <c r="P343" s="12"/>
      <c r="Q343" s="12"/>
      <c r="R343" s="12"/>
      <c r="S343" s="12"/>
      <c r="T343" s="12"/>
      <c r="U343" s="12"/>
      <c r="V343" s="12"/>
      <c r="W343" s="12"/>
      <c r="X343" s="12" t="s">
        <v>1562</v>
      </c>
      <c r="Y343" s="12"/>
      <c r="Z343" s="12"/>
      <c r="AA343" s="12"/>
      <c r="AB343" s="12"/>
      <c r="AC343" s="12"/>
      <c r="AD343" s="17"/>
    </row>
    <row r="344" spans="2:30" s="3" customFormat="1" ht="13.5" x14ac:dyDescent="0.25">
      <c r="B344" s="9" t="s">
        <v>608</v>
      </c>
      <c r="C344" s="25" t="s">
        <v>609</v>
      </c>
      <c r="D344" s="16"/>
      <c r="E344" s="12" t="str">
        <f>VLOOKUP(B344,'[1]ART 2 A)'!A:E,5,FALSE)</f>
        <v>Ex.</v>
      </c>
      <c r="F344" s="12"/>
      <c r="G344" s="12"/>
      <c r="H344" s="12" t="str">
        <f>VLOOKUP(B344,'[1]ART IV'!A:E,5,FALSE)</f>
        <v xml:space="preserve">Ex. </v>
      </c>
      <c r="I344" s="12"/>
      <c r="J344" s="12"/>
      <c r="K344" s="12"/>
      <c r="L344" s="12"/>
      <c r="M344" s="12"/>
      <c r="N344" s="12"/>
      <c r="O344" s="12"/>
      <c r="P344" s="12"/>
      <c r="Q344" s="12"/>
      <c r="R344" s="12"/>
      <c r="S344" s="12"/>
      <c r="T344" s="12"/>
      <c r="U344" s="12"/>
      <c r="V344" s="12"/>
      <c r="W344" s="12"/>
      <c r="X344" s="12" t="s">
        <v>1562</v>
      </c>
      <c r="Y344" s="12"/>
      <c r="Z344" s="12"/>
      <c r="AA344" s="12"/>
      <c r="AB344" s="12"/>
      <c r="AC344" s="12"/>
      <c r="AD344" s="17"/>
    </row>
    <row r="345" spans="2:30" s="3" customFormat="1" ht="81" x14ac:dyDescent="0.25">
      <c r="B345" s="9" t="s">
        <v>610</v>
      </c>
      <c r="C345" s="25" t="s">
        <v>611</v>
      </c>
      <c r="D345" s="16" t="str">
        <f>VLOOKUP(B345,'[1]ART 1'!A:E,5,FALSE)</f>
        <v>5Excepto: De capacidad superior a 1 l.</v>
      </c>
      <c r="E345" s="12"/>
      <c r="F345" s="12" t="str">
        <f>VLOOKUP(B345,'[1]ART 2 B)'!A:E,5,FALSE)</f>
        <v>Ex. Únicamente: De capacidad inferior a 0.15 l.</v>
      </c>
      <c r="G345" s="12"/>
      <c r="H345" s="12"/>
      <c r="I345" s="12"/>
      <c r="J345" s="12"/>
      <c r="K345" s="12"/>
      <c r="L345" s="12"/>
      <c r="M345" s="12"/>
      <c r="N345" s="12" t="s">
        <v>1643</v>
      </c>
      <c r="O345" s="12" t="s">
        <v>1644</v>
      </c>
      <c r="P345" s="12"/>
      <c r="Q345" s="12"/>
      <c r="R345" s="12" t="s">
        <v>1645</v>
      </c>
      <c r="S345" s="12"/>
      <c r="T345" s="12"/>
      <c r="U345" s="12"/>
      <c r="V345" s="12"/>
      <c r="W345" s="12"/>
      <c r="X345" s="12" t="s">
        <v>1646</v>
      </c>
      <c r="Y345" s="12"/>
      <c r="Z345" s="12"/>
      <c r="AA345" s="12"/>
      <c r="AB345" s="12"/>
      <c r="AC345" s="12"/>
      <c r="AD345" s="17"/>
    </row>
    <row r="346" spans="2:30" s="3" customFormat="1" ht="54" x14ac:dyDescent="0.25">
      <c r="B346" s="9" t="s">
        <v>612</v>
      </c>
      <c r="C346" s="25" t="s">
        <v>613</v>
      </c>
      <c r="D346" s="16"/>
      <c r="E346" s="12"/>
      <c r="F346" s="12" t="str">
        <f>VLOOKUP(B346,'[1]ART 2 B)'!A:E,5,FALSE)</f>
        <v>Ex. Únicamente: Jarras de borosilicato</v>
      </c>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7"/>
    </row>
    <row r="347" spans="2:30" s="3" customFormat="1" ht="13.5" x14ac:dyDescent="0.25">
      <c r="B347" s="9" t="s">
        <v>614</v>
      </c>
      <c r="C347" s="25" t="s">
        <v>53</v>
      </c>
      <c r="D347" s="16" t="str">
        <f>VLOOKUP(B347,'[1]ART 1'!A:E,5,FALSE)</f>
        <v>Ex.</v>
      </c>
      <c r="E347" s="12"/>
      <c r="F347" s="12"/>
      <c r="G347" s="12"/>
      <c r="H347" s="12"/>
      <c r="I347" s="12"/>
      <c r="J347" s="12"/>
      <c r="K347" s="12"/>
      <c r="L347" s="12"/>
      <c r="M347" s="12"/>
      <c r="N347" s="12"/>
      <c r="O347" s="12"/>
      <c r="P347" s="12"/>
      <c r="Q347" s="12"/>
      <c r="R347" s="12"/>
      <c r="S347" s="12"/>
      <c r="T347" s="12"/>
      <c r="U347" s="12"/>
      <c r="V347" s="12"/>
      <c r="W347" s="12"/>
      <c r="X347" s="12" t="s">
        <v>1562</v>
      </c>
      <c r="Y347" s="12"/>
      <c r="Z347" s="12"/>
      <c r="AA347" s="12"/>
      <c r="AB347" s="12"/>
      <c r="AC347" s="12"/>
      <c r="AD347" s="17"/>
    </row>
    <row r="348" spans="2:30" s="3" customFormat="1" ht="13.5" x14ac:dyDescent="0.25">
      <c r="B348" s="9" t="s">
        <v>615</v>
      </c>
      <c r="C348" s="25" t="s">
        <v>157</v>
      </c>
      <c r="D348" s="16"/>
      <c r="E348" s="12"/>
      <c r="F348" s="12"/>
      <c r="G348" s="12"/>
      <c r="H348" s="12" t="str">
        <f>VLOOKUP(B348,'[1]ART IV'!A:E,5,FALSE)</f>
        <v xml:space="preserve">Ex. </v>
      </c>
      <c r="I348" s="12" t="str">
        <f>VLOOKUP(B348,'[1]ART 5'!A:E,5,FALSE)</f>
        <v xml:space="preserve">5 </v>
      </c>
      <c r="J348" s="12"/>
      <c r="K348" s="12"/>
      <c r="L348" s="12"/>
      <c r="M348" s="12"/>
      <c r="N348" s="12"/>
      <c r="O348" s="12"/>
      <c r="P348" s="12"/>
      <c r="Q348" s="12"/>
      <c r="R348" s="12"/>
      <c r="S348" s="12"/>
      <c r="T348" s="12"/>
      <c r="U348" s="12"/>
      <c r="V348" s="12"/>
      <c r="W348" s="12"/>
      <c r="X348" s="12"/>
      <c r="Y348" s="12"/>
      <c r="Z348" s="12"/>
      <c r="AA348" s="12"/>
      <c r="AB348" s="12"/>
      <c r="AC348" s="12"/>
      <c r="AD348" s="17"/>
    </row>
    <row r="349" spans="2:30" s="3" customFormat="1" ht="13.5" x14ac:dyDescent="0.25">
      <c r="B349" s="9" t="s">
        <v>616</v>
      </c>
      <c r="C349" s="25" t="s">
        <v>617</v>
      </c>
      <c r="D349" s="16"/>
      <c r="E349" s="12"/>
      <c r="F349" s="12"/>
      <c r="G349" s="12"/>
      <c r="H349" s="12"/>
      <c r="I349" s="12"/>
      <c r="J349" s="12"/>
      <c r="K349" s="12"/>
      <c r="L349" s="12"/>
      <c r="M349" s="12"/>
      <c r="N349" s="12"/>
      <c r="O349" s="12"/>
      <c r="P349" s="12"/>
      <c r="Q349" s="12"/>
      <c r="R349" s="12"/>
      <c r="S349" s="12"/>
      <c r="T349" s="12"/>
      <c r="U349" s="12"/>
      <c r="V349" s="12"/>
      <c r="W349" s="12"/>
      <c r="X349" s="12" t="s">
        <v>1562</v>
      </c>
      <c r="Y349" s="12"/>
      <c r="Z349" s="12"/>
      <c r="AA349" s="12"/>
      <c r="AB349" s="12"/>
      <c r="AC349" s="12"/>
      <c r="AD349" s="17"/>
    </row>
    <row r="350" spans="2:30" s="3" customFormat="1" ht="13.5" x14ac:dyDescent="0.25">
      <c r="B350" s="9" t="s">
        <v>618</v>
      </c>
      <c r="C350" s="25" t="s">
        <v>617</v>
      </c>
      <c r="D350" s="16"/>
      <c r="E350" s="12"/>
      <c r="F350" s="12"/>
      <c r="G350" s="12"/>
      <c r="H350" s="12"/>
      <c r="I350" s="12"/>
      <c r="J350" s="12"/>
      <c r="K350" s="12"/>
      <c r="L350" s="12"/>
      <c r="M350" s="12"/>
      <c r="N350" s="12"/>
      <c r="O350" s="12"/>
      <c r="P350" s="12"/>
      <c r="Q350" s="12"/>
      <c r="R350" s="12"/>
      <c r="S350" s="12"/>
      <c r="T350" s="12"/>
      <c r="U350" s="12"/>
      <c r="V350" s="12"/>
      <c r="W350" s="12"/>
      <c r="X350" s="12" t="s">
        <v>1562</v>
      </c>
      <c r="Y350" s="12"/>
      <c r="Z350" s="12"/>
      <c r="AA350" s="12"/>
      <c r="AB350" s="12"/>
      <c r="AC350" s="12"/>
      <c r="AD350" s="17"/>
    </row>
    <row r="351" spans="2:30" s="3" customFormat="1" ht="13.5" x14ac:dyDescent="0.25">
      <c r="B351" s="9" t="s">
        <v>619</v>
      </c>
      <c r="C351" s="25" t="s">
        <v>617</v>
      </c>
      <c r="D351" s="16" t="str">
        <f>VLOOKUP(B351,'[1]ART 1'!A:E,5,FALSE)</f>
        <v>Ex.</v>
      </c>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7"/>
    </row>
    <row r="352" spans="2:30" s="3" customFormat="1" ht="202.5" x14ac:dyDescent="0.25">
      <c r="B352" s="9" t="s">
        <v>620</v>
      </c>
      <c r="C352" s="25" t="s">
        <v>621</v>
      </c>
      <c r="D352" s="16" t="str">
        <f>VLOOKUP(B352,'[1]ART 1'!A:E,5,FALSE)</f>
        <v>Ex.Excepto: Placas de acero de espesor superior a 10 mm, grados SHT-80, SHT-110, AR-400, SMM-400 o A-516; placas de acero de espesor superior a 70 mm, grado A-36.</v>
      </c>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7"/>
    </row>
    <row r="353" spans="2:30" s="3" customFormat="1" ht="13.5" x14ac:dyDescent="0.25">
      <c r="B353" s="9" t="s">
        <v>622</v>
      </c>
      <c r="C353" s="25" t="s">
        <v>617</v>
      </c>
      <c r="D353" s="16"/>
      <c r="E353" s="12"/>
      <c r="F353" s="12"/>
      <c r="G353" s="12"/>
      <c r="H353" s="12"/>
      <c r="I353" s="12"/>
      <c r="J353" s="12"/>
      <c r="K353" s="12"/>
      <c r="L353" s="12"/>
      <c r="M353" s="12"/>
      <c r="N353" s="12"/>
      <c r="O353" s="12"/>
      <c r="P353" s="12"/>
      <c r="Q353" s="12"/>
      <c r="R353" s="12"/>
      <c r="S353" s="12"/>
      <c r="T353" s="12"/>
      <c r="U353" s="12"/>
      <c r="V353" s="12"/>
      <c r="W353" s="12"/>
      <c r="X353" s="12" t="s">
        <v>1562</v>
      </c>
      <c r="Y353" s="12"/>
      <c r="Z353" s="12"/>
      <c r="AA353" s="12"/>
      <c r="AB353" s="12"/>
      <c r="AC353" s="12"/>
      <c r="AD353" s="17"/>
    </row>
    <row r="354" spans="2:30" s="3" customFormat="1" ht="13.5" x14ac:dyDescent="0.25">
      <c r="B354" s="9" t="s">
        <v>623</v>
      </c>
      <c r="C354" s="25" t="s">
        <v>617</v>
      </c>
      <c r="D354" s="16"/>
      <c r="E354" s="12"/>
      <c r="F354" s="12"/>
      <c r="G354" s="12"/>
      <c r="H354" s="12"/>
      <c r="I354" s="12"/>
      <c r="J354" s="12"/>
      <c r="K354" s="12"/>
      <c r="L354" s="12"/>
      <c r="M354" s="12"/>
      <c r="N354" s="12"/>
      <c r="O354" s="12"/>
      <c r="P354" s="12"/>
      <c r="Q354" s="12"/>
      <c r="R354" s="12"/>
      <c r="S354" s="12"/>
      <c r="T354" s="12"/>
      <c r="U354" s="12"/>
      <c r="V354" s="12"/>
      <c r="W354" s="12"/>
      <c r="X354" s="12" t="s">
        <v>1562</v>
      </c>
      <c r="Y354" s="12"/>
      <c r="Z354" s="12"/>
      <c r="AA354" s="12"/>
      <c r="AB354" s="12"/>
      <c r="AC354" s="12"/>
      <c r="AD354" s="17"/>
    </row>
    <row r="355" spans="2:30" s="3" customFormat="1" ht="94.5" x14ac:dyDescent="0.25">
      <c r="B355" s="9" t="s">
        <v>624</v>
      </c>
      <c r="C355" s="25" t="s">
        <v>625</v>
      </c>
      <c r="D355" s="16" t="str">
        <f>VLOOKUP(B355,'[1]ART 1'!A:E,5,FALSE)</f>
        <v>Ex.Únicamente: Flejes con un contenido de carbono igual o superior a 0.6%.</v>
      </c>
      <c r="E355" s="12"/>
      <c r="F355" s="12"/>
      <c r="G355" s="12"/>
      <c r="H355" s="12"/>
      <c r="I355" s="12"/>
      <c r="J355" s="12"/>
      <c r="K355" s="12"/>
      <c r="L355" s="12"/>
      <c r="M355" s="12"/>
      <c r="N355" s="12"/>
      <c r="O355" s="12"/>
      <c r="P355" s="12"/>
      <c r="Q355" s="12"/>
      <c r="R355" s="12"/>
      <c r="S355" s="12"/>
      <c r="T355" s="12"/>
      <c r="U355" s="12"/>
      <c r="V355" s="12"/>
      <c r="W355" s="12"/>
      <c r="X355" s="12" t="s">
        <v>1647</v>
      </c>
      <c r="Y355" s="12"/>
      <c r="Z355" s="12"/>
      <c r="AA355" s="12"/>
      <c r="AB355" s="12"/>
      <c r="AC355" s="12"/>
      <c r="AD355" s="17"/>
    </row>
    <row r="356" spans="2:30" s="3" customFormat="1" ht="13.5" x14ac:dyDescent="0.25">
      <c r="B356" s="9" t="s">
        <v>626</v>
      </c>
      <c r="C356" s="25" t="s">
        <v>53</v>
      </c>
      <c r="D356" s="16"/>
      <c r="E356" s="12"/>
      <c r="F356" s="12" t="str">
        <f>VLOOKUP(B356,'[1]ART 2 B)'!A:E,5,FALSE)</f>
        <v xml:space="preserve">Ex. </v>
      </c>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7"/>
    </row>
    <row r="357" spans="2:30" s="3" customFormat="1" ht="297" x14ac:dyDescent="0.25">
      <c r="B357" s="9" t="s">
        <v>627</v>
      </c>
      <c r="C357" s="25" t="s">
        <v>628</v>
      </c>
      <c r="D357" s="16"/>
      <c r="E357" s="12"/>
      <c r="F357" s="12"/>
      <c r="G357" s="12"/>
      <c r="H357" s="12"/>
      <c r="I357" s="12"/>
      <c r="J357" s="12"/>
      <c r="K357" s="12"/>
      <c r="L357" s="12"/>
      <c r="M357" s="12"/>
      <c r="N357" s="12"/>
      <c r="O357" s="12"/>
      <c r="P357" s="12"/>
      <c r="Q357" s="12"/>
      <c r="R357" s="12"/>
      <c r="S357" s="12"/>
      <c r="T357" s="12"/>
      <c r="U357" s="12"/>
      <c r="V357" s="12"/>
      <c r="W357" s="12"/>
      <c r="X357" s="12" t="s">
        <v>1648</v>
      </c>
      <c r="Y357" s="12"/>
      <c r="Z357" s="12"/>
      <c r="AA357" s="12"/>
      <c r="AB357" s="12"/>
      <c r="AC357" s="12"/>
      <c r="AD357" s="17"/>
    </row>
    <row r="358" spans="2:30" s="3" customFormat="1" ht="94.5" x14ac:dyDescent="0.25">
      <c r="B358" s="9" t="s">
        <v>629</v>
      </c>
      <c r="C358" s="25" t="s">
        <v>630</v>
      </c>
      <c r="D358" s="16"/>
      <c r="E358" s="12"/>
      <c r="F358" s="12"/>
      <c r="G358" s="12"/>
      <c r="H358" s="12"/>
      <c r="I358" s="12"/>
      <c r="J358" s="12"/>
      <c r="K358" s="12"/>
      <c r="L358" s="12"/>
      <c r="M358" s="12"/>
      <c r="N358" s="12"/>
      <c r="O358" s="12"/>
      <c r="P358" s="12"/>
      <c r="Q358" s="12"/>
      <c r="R358" s="12"/>
      <c r="S358" s="12"/>
      <c r="T358" s="12"/>
      <c r="U358" s="12"/>
      <c r="V358" s="12"/>
      <c r="W358" s="12"/>
      <c r="X358" s="12" t="s">
        <v>1649</v>
      </c>
      <c r="Y358" s="12"/>
      <c r="Z358" s="12"/>
      <c r="AA358" s="12"/>
      <c r="AB358" s="12"/>
      <c r="AC358" s="12"/>
      <c r="AD358" s="17"/>
    </row>
    <row r="359" spans="2:30" s="3" customFormat="1" ht="40.5" x14ac:dyDescent="0.25">
      <c r="B359" s="9" t="s">
        <v>631</v>
      </c>
      <c r="C359" s="25" t="s">
        <v>632</v>
      </c>
      <c r="D359" s="16"/>
      <c r="E359" s="12"/>
      <c r="F359" s="12"/>
      <c r="G359" s="12"/>
      <c r="H359" s="12"/>
      <c r="I359" s="12"/>
      <c r="J359" s="12"/>
      <c r="K359" s="12"/>
      <c r="L359" s="12"/>
      <c r="M359" s="12"/>
      <c r="N359" s="12"/>
      <c r="O359" s="12"/>
      <c r="P359" s="12"/>
      <c r="Q359" s="12"/>
      <c r="R359" s="12"/>
      <c r="S359" s="12"/>
      <c r="T359" s="12"/>
      <c r="U359" s="12"/>
      <c r="V359" s="12"/>
      <c r="W359" s="12"/>
      <c r="X359" s="12" t="s">
        <v>1562</v>
      </c>
      <c r="Y359" s="12"/>
      <c r="Z359" s="12"/>
      <c r="AA359" s="12"/>
      <c r="AB359" s="12"/>
      <c r="AC359" s="12"/>
      <c r="AD359" s="17"/>
    </row>
    <row r="360" spans="2:30" s="3" customFormat="1" ht="67.5" x14ac:dyDescent="0.25">
      <c r="B360" s="9" t="s">
        <v>633</v>
      </c>
      <c r="C360" s="25" t="s">
        <v>634</v>
      </c>
      <c r="D360" s="16"/>
      <c r="E360" s="12"/>
      <c r="F360" s="12"/>
      <c r="G360" s="12"/>
      <c r="H360" s="12"/>
      <c r="I360" s="12"/>
      <c r="J360" s="12"/>
      <c r="K360" s="12"/>
      <c r="L360" s="12"/>
      <c r="M360" s="12" t="str">
        <f>VLOOKUP(B360,'[1]ART 9'!A:E,5,FALSE)</f>
        <v xml:space="preserve">Ex. </v>
      </c>
      <c r="N360" s="12"/>
      <c r="O360" s="12"/>
      <c r="P360" s="12"/>
      <c r="Q360" s="12"/>
      <c r="R360" s="12"/>
      <c r="S360" s="12"/>
      <c r="T360" s="12"/>
      <c r="U360" s="12"/>
      <c r="V360" s="12"/>
      <c r="W360" s="12"/>
      <c r="X360" s="12" t="s">
        <v>1562</v>
      </c>
      <c r="Y360" s="12"/>
      <c r="Z360" s="12"/>
      <c r="AA360" s="12"/>
      <c r="AB360" s="12"/>
      <c r="AC360" s="12"/>
      <c r="AD360" s="17"/>
    </row>
    <row r="361" spans="2:30" s="3" customFormat="1" ht="54" x14ac:dyDescent="0.25">
      <c r="B361" s="9" t="s">
        <v>635</v>
      </c>
      <c r="C361" s="25" t="s">
        <v>636</v>
      </c>
      <c r="D361" s="16"/>
      <c r="E361" s="12" t="str">
        <f>VLOOKUP(B361,'[1]ART 2 A)'!A:E,5,FALSE)</f>
        <v>Ex.Únicamente: Puertas, ventanas y sus marcos.</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7"/>
    </row>
    <row r="362" spans="2:30" s="3" customFormat="1" ht="94.5" x14ac:dyDescent="0.25">
      <c r="B362" s="9" t="s">
        <v>637</v>
      </c>
      <c r="C362" s="25" t="s">
        <v>638</v>
      </c>
      <c r="D362" s="16"/>
      <c r="E362" s="12"/>
      <c r="F362" s="12"/>
      <c r="G362" s="12"/>
      <c r="H362" s="12"/>
      <c r="I362" s="12"/>
      <c r="J362" s="12"/>
      <c r="K362" s="12"/>
      <c r="L362" s="12"/>
      <c r="M362" s="12"/>
      <c r="N362" s="12"/>
      <c r="O362" s="12"/>
      <c r="P362" s="12"/>
      <c r="Q362" s="12"/>
      <c r="R362" s="12"/>
      <c r="S362" s="12"/>
      <c r="T362" s="12"/>
      <c r="U362" s="12"/>
      <c r="V362" s="12"/>
      <c r="W362" s="12"/>
      <c r="X362" s="12" t="s">
        <v>1562</v>
      </c>
      <c r="Y362" s="12"/>
      <c r="Z362" s="12"/>
      <c r="AA362" s="12"/>
      <c r="AB362" s="12"/>
      <c r="AC362" s="12"/>
      <c r="AD362" s="17"/>
    </row>
    <row r="363" spans="2:30" s="3" customFormat="1" ht="81" x14ac:dyDescent="0.25">
      <c r="B363" s="9" t="s">
        <v>639</v>
      </c>
      <c r="C363" s="25" t="s">
        <v>640</v>
      </c>
      <c r="D363" s="16"/>
      <c r="E363" s="12"/>
      <c r="F363" s="12"/>
      <c r="G363" s="12"/>
      <c r="H363" s="12"/>
      <c r="I363" s="12"/>
      <c r="J363" s="12"/>
      <c r="K363" s="12"/>
      <c r="L363" s="12"/>
      <c r="M363" s="12"/>
      <c r="N363" s="12"/>
      <c r="O363" s="12"/>
      <c r="P363" s="12"/>
      <c r="Q363" s="12"/>
      <c r="R363" s="12"/>
      <c r="S363" s="12"/>
      <c r="T363" s="12"/>
      <c r="U363" s="12"/>
      <c r="V363" s="12"/>
      <c r="W363" s="12"/>
      <c r="X363" s="12" t="s">
        <v>1562</v>
      </c>
      <c r="Y363" s="12"/>
      <c r="Z363" s="12"/>
      <c r="AA363" s="12"/>
      <c r="AB363" s="12"/>
      <c r="AC363" s="12"/>
      <c r="AD363" s="17"/>
    </row>
    <row r="364" spans="2:30" s="3" customFormat="1" ht="13.5" x14ac:dyDescent="0.25">
      <c r="B364" s="9" t="s">
        <v>641</v>
      </c>
      <c r="C364" s="25" t="s">
        <v>642</v>
      </c>
      <c r="D364" s="16"/>
      <c r="E364" s="12" t="str">
        <f>VLOOKUP(B364,'[1]ART 2 A)'!A:E,5,FALSE)</f>
        <v>Ex.</v>
      </c>
      <c r="F364" s="12"/>
      <c r="G364" s="12"/>
      <c r="H364" s="12"/>
      <c r="I364" s="12"/>
      <c r="J364" s="12"/>
      <c r="K364" s="12"/>
      <c r="L364" s="12"/>
      <c r="M364" s="12"/>
      <c r="N364" s="12"/>
      <c r="O364" s="12"/>
      <c r="P364" s="12"/>
      <c r="Q364" s="12"/>
      <c r="R364" s="12"/>
      <c r="S364" s="12"/>
      <c r="T364" s="12"/>
      <c r="U364" s="12"/>
      <c r="V364" s="12"/>
      <c r="W364" s="12"/>
      <c r="X364" s="12" t="s">
        <v>1562</v>
      </c>
      <c r="Y364" s="12"/>
      <c r="Z364" s="12"/>
      <c r="AA364" s="12"/>
      <c r="AB364" s="12"/>
      <c r="AC364" s="12"/>
      <c r="AD364" s="17"/>
    </row>
    <row r="365" spans="2:30" s="3" customFormat="1" ht="13.5" x14ac:dyDescent="0.25">
      <c r="B365" s="9" t="s">
        <v>643</v>
      </c>
      <c r="C365" s="25" t="s">
        <v>644</v>
      </c>
      <c r="D365" s="16"/>
      <c r="E365" s="12" t="str">
        <f>VLOOKUP(B365,'[1]ART 2 A)'!A:E,5,FALSE)</f>
        <v>Ex.</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7"/>
    </row>
    <row r="366" spans="2:30" s="3" customFormat="1" ht="13.5" x14ac:dyDescent="0.25">
      <c r="B366" s="9" t="s">
        <v>645</v>
      </c>
      <c r="C366" s="25" t="s">
        <v>646</v>
      </c>
      <c r="D366" s="16" t="str">
        <f>VLOOKUP(B366,'[1]ART 1'!A:E,5,FALSE)</f>
        <v>5</v>
      </c>
      <c r="E366" s="12" t="str">
        <f>VLOOKUP(B366,'[1]ART 2 A)'!A:E,5,FALSE)</f>
        <v>Ex.</v>
      </c>
      <c r="F366" s="12"/>
      <c r="G366" s="12"/>
      <c r="H366" s="12" t="str">
        <f>VLOOKUP(B366,'[1]ART IV'!A:E,5,FALSE)</f>
        <v xml:space="preserve">Ex. </v>
      </c>
      <c r="I366" s="12"/>
      <c r="J366" s="12"/>
      <c r="K366" s="12"/>
      <c r="L366" s="12"/>
      <c r="M366" s="12"/>
      <c r="N366" s="12"/>
      <c r="O366" s="12"/>
      <c r="P366" s="12"/>
      <c r="Q366" s="12"/>
      <c r="R366" s="12"/>
      <c r="S366" s="12"/>
      <c r="T366" s="12"/>
      <c r="U366" s="12"/>
      <c r="V366" s="12"/>
      <c r="W366" s="12"/>
      <c r="X366" s="12" t="s">
        <v>1562</v>
      </c>
      <c r="Y366" s="12"/>
      <c r="Z366" s="12"/>
      <c r="AA366" s="12"/>
      <c r="AB366" s="12"/>
      <c r="AC366" s="12"/>
      <c r="AD366" s="17"/>
    </row>
    <row r="367" spans="2:30" s="3" customFormat="1" ht="81" x14ac:dyDescent="0.25">
      <c r="B367" s="9" t="s">
        <v>647</v>
      </c>
      <c r="C367" s="25" t="s">
        <v>648</v>
      </c>
      <c r="D367" s="16"/>
      <c r="E367" s="12" t="str">
        <f>VLOOKUP(B367,'[1]ART 2 A)'!A:E,5,FALSE)</f>
        <v>Ex.</v>
      </c>
      <c r="F367" s="12"/>
      <c r="G367" s="12" t="str">
        <f>VLOOKUP(B367,'[1]ART 3'!A:E,5,FALSE)</f>
        <v xml:space="preserve">Ex. </v>
      </c>
      <c r="H367" s="12"/>
      <c r="I367" s="12"/>
      <c r="J367" s="12"/>
      <c r="K367" s="12"/>
      <c r="L367" s="12" t="str">
        <f>VLOOKUP(B367,'[1]ART 8'!A:E,5,FALSE)</f>
        <v xml:space="preserve">Ex. </v>
      </c>
      <c r="M367" s="12" t="str">
        <f>VLOOKUP(B367,'[1]ART 9'!A:E,5,FALSE)</f>
        <v xml:space="preserve">Ex. </v>
      </c>
      <c r="N367" s="12" t="s">
        <v>1562</v>
      </c>
      <c r="O367" s="12"/>
      <c r="P367" s="12"/>
      <c r="Q367" s="12"/>
      <c r="R367" s="12"/>
      <c r="S367" s="12" t="s">
        <v>1562</v>
      </c>
      <c r="T367" s="12" t="s">
        <v>1562</v>
      </c>
      <c r="U367" s="12"/>
      <c r="V367" s="12"/>
      <c r="W367" s="12"/>
      <c r="X367" s="12" t="s">
        <v>1562</v>
      </c>
      <c r="Y367" s="12"/>
      <c r="Z367" s="12"/>
      <c r="AA367" s="12"/>
      <c r="AB367" s="12"/>
      <c r="AC367" s="12"/>
      <c r="AD367" s="17"/>
    </row>
    <row r="368" spans="2:30" s="3" customFormat="1" ht="13.5" x14ac:dyDescent="0.25">
      <c r="B368" s="9" t="s">
        <v>649</v>
      </c>
      <c r="C368" s="25" t="s">
        <v>53</v>
      </c>
      <c r="D368" s="16"/>
      <c r="E368" s="12" t="str">
        <f>VLOOKUP(B368,'[1]ART 2 A)'!A:E,5,FALSE)</f>
        <v>Ex.</v>
      </c>
      <c r="F368" s="12"/>
      <c r="G368" s="12"/>
      <c r="H368" s="12" t="str">
        <f>VLOOKUP(B368,'[1]ART IV'!A:E,5,FALSE)</f>
        <v xml:space="preserve">Ex. </v>
      </c>
      <c r="I368" s="12"/>
      <c r="J368" s="12"/>
      <c r="K368" s="12"/>
      <c r="L368" s="12"/>
      <c r="M368" s="12"/>
      <c r="N368" s="12"/>
      <c r="O368" s="12"/>
      <c r="P368" s="12"/>
      <c r="Q368" s="12"/>
      <c r="R368" s="12"/>
      <c r="S368" s="12"/>
      <c r="T368" s="12"/>
      <c r="U368" s="12"/>
      <c r="V368" s="12"/>
      <c r="W368" s="12"/>
      <c r="X368" s="12"/>
      <c r="Y368" s="12"/>
      <c r="Z368" s="12"/>
      <c r="AA368" s="12"/>
      <c r="AB368" s="12"/>
      <c r="AC368" s="12"/>
      <c r="AD368" s="17"/>
    </row>
    <row r="369" spans="2:30" s="3" customFormat="1" ht="13.5" x14ac:dyDescent="0.25">
      <c r="B369" s="9" t="s">
        <v>650</v>
      </c>
      <c r="C369" s="25" t="s">
        <v>53</v>
      </c>
      <c r="D369" s="16"/>
      <c r="E369" s="12" t="str">
        <f>VLOOKUP(B369,'[1]ART 2 A)'!A:E,5,FALSE)</f>
        <v>Ex.</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7"/>
    </row>
    <row r="370" spans="2:30" s="3" customFormat="1" ht="27" x14ac:dyDescent="0.25">
      <c r="B370" s="9" t="s">
        <v>651</v>
      </c>
      <c r="C370" s="25" t="s">
        <v>652</v>
      </c>
      <c r="D370" s="16"/>
      <c r="E370" s="12"/>
      <c r="F370" s="12"/>
      <c r="G370" s="12"/>
      <c r="H370" s="12"/>
      <c r="I370" s="12"/>
      <c r="J370" s="12"/>
      <c r="K370" s="12"/>
      <c r="L370" s="12"/>
      <c r="M370" s="12"/>
      <c r="N370" s="12"/>
      <c r="O370" s="12"/>
      <c r="P370" s="12"/>
      <c r="Q370" s="12"/>
      <c r="R370" s="12"/>
      <c r="S370" s="12"/>
      <c r="T370" s="12"/>
      <c r="U370" s="12"/>
      <c r="V370" s="12"/>
      <c r="W370" s="12"/>
      <c r="X370" s="12" t="s">
        <v>1650</v>
      </c>
      <c r="Y370" s="12"/>
      <c r="Z370" s="12"/>
      <c r="AA370" s="12"/>
      <c r="AB370" s="12"/>
      <c r="AC370" s="12"/>
      <c r="AD370" s="17"/>
    </row>
    <row r="371" spans="2:30" s="3" customFormat="1" ht="54" x14ac:dyDescent="0.25">
      <c r="B371" s="9" t="s">
        <v>653</v>
      </c>
      <c r="C371" s="25" t="s">
        <v>654</v>
      </c>
      <c r="D371" s="16"/>
      <c r="E371" s="12"/>
      <c r="F371" s="12"/>
      <c r="G371" s="12"/>
      <c r="H371" s="12" t="str">
        <f>VLOOKUP(B371,'[1]ART IV'!A:E,5,FALSE)</f>
        <v xml:space="preserve">Ex. </v>
      </c>
      <c r="I371" s="12"/>
      <c r="J371" s="12"/>
      <c r="K371" s="12"/>
      <c r="L371" s="12"/>
      <c r="M371" s="12"/>
      <c r="N371" s="12"/>
      <c r="O371" s="12"/>
      <c r="P371" s="12"/>
      <c r="Q371" s="12"/>
      <c r="R371" s="12"/>
      <c r="S371" s="12"/>
      <c r="T371" s="12"/>
      <c r="U371" s="12"/>
      <c r="V371" s="12"/>
      <c r="W371" s="12"/>
      <c r="X371" s="12" t="s">
        <v>1562</v>
      </c>
      <c r="Y371" s="12"/>
      <c r="Z371" s="12"/>
      <c r="AA371" s="12"/>
      <c r="AB371" s="12"/>
      <c r="AC371" s="12"/>
      <c r="AD371" s="17"/>
    </row>
    <row r="372" spans="2:30" s="3" customFormat="1" ht="135" x14ac:dyDescent="0.25">
      <c r="B372" s="9" t="s">
        <v>655</v>
      </c>
      <c r="C372" s="25" t="s">
        <v>656</v>
      </c>
      <c r="D372" s="16"/>
      <c r="E372" s="12" t="str">
        <f>VLOOKUP(B372,'[1]ART 2 A)'!A:E,5,FALSE)</f>
        <v>Ex.Excepto: Moldes, distribuidores de toallas, sifones automáticos (botellas de agua para gaseosa) y partes.</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7"/>
    </row>
    <row r="373" spans="2:30" s="3" customFormat="1" ht="27" x14ac:dyDescent="0.25">
      <c r="B373" s="9" t="s">
        <v>657</v>
      </c>
      <c r="C373" s="25" t="s">
        <v>658</v>
      </c>
      <c r="D373" s="16"/>
      <c r="E373" s="12"/>
      <c r="F373" s="12"/>
      <c r="G373" s="12"/>
      <c r="H373" s="12"/>
      <c r="I373" s="12"/>
      <c r="J373" s="12"/>
      <c r="K373" s="12"/>
      <c r="L373" s="12"/>
      <c r="M373" s="12"/>
      <c r="N373" s="12"/>
      <c r="O373" s="12"/>
      <c r="P373" s="12"/>
      <c r="Q373" s="12"/>
      <c r="R373" s="12"/>
      <c r="S373" s="12"/>
      <c r="T373" s="12"/>
      <c r="U373" s="12"/>
      <c r="V373" s="12"/>
      <c r="W373" s="12"/>
      <c r="X373" s="12" t="s">
        <v>1562</v>
      </c>
      <c r="Y373" s="12"/>
      <c r="Z373" s="12"/>
      <c r="AA373" s="12"/>
      <c r="AB373" s="12"/>
      <c r="AC373" s="12"/>
      <c r="AD373" s="17"/>
    </row>
    <row r="374" spans="2:30" s="3" customFormat="1" ht="94.5" x14ac:dyDescent="0.25">
      <c r="B374" s="9" t="s">
        <v>659</v>
      </c>
      <c r="C374" s="25" t="s">
        <v>660</v>
      </c>
      <c r="D374" s="16"/>
      <c r="E374" s="12" t="str">
        <f>VLOOKUP(B374,'[1]ART 2 A)'!A:E,5,FALSE)</f>
        <v>Ex.Excepto: Partes; distribuidores de toallas; cómodos, urinales o riñoneras.</v>
      </c>
      <c r="F374" s="12"/>
      <c r="G374" s="12"/>
      <c r="H374" s="12"/>
      <c r="I374" s="12"/>
      <c r="J374" s="12"/>
      <c r="K374" s="12"/>
      <c r="L374" s="12"/>
      <c r="M374" s="12"/>
      <c r="N374" s="12"/>
      <c r="O374" s="12"/>
      <c r="P374" s="12"/>
      <c r="Q374" s="12"/>
      <c r="R374" s="12"/>
      <c r="S374" s="12"/>
      <c r="T374" s="12"/>
      <c r="U374" s="12"/>
      <c r="V374" s="12"/>
      <c r="W374" s="12"/>
      <c r="X374" s="12" t="s">
        <v>1651</v>
      </c>
      <c r="Y374" s="12"/>
      <c r="Z374" s="12"/>
      <c r="AA374" s="12"/>
      <c r="AB374" s="12"/>
      <c r="AC374" s="12"/>
      <c r="AD374" s="17"/>
    </row>
    <row r="375" spans="2:30" s="3" customFormat="1" ht="13.5" x14ac:dyDescent="0.25">
      <c r="B375" s="21" t="s">
        <v>661</v>
      </c>
      <c r="C375" s="25" t="s">
        <v>662</v>
      </c>
      <c r="D375" s="16"/>
      <c r="E375" s="12"/>
      <c r="F375" s="12"/>
      <c r="G375" s="12"/>
      <c r="H375" s="12"/>
      <c r="I375" s="12"/>
      <c r="J375" s="12"/>
      <c r="K375" s="12"/>
      <c r="L375" s="12"/>
      <c r="M375" s="12"/>
      <c r="N375" s="12"/>
      <c r="O375" s="12"/>
      <c r="P375" s="12"/>
      <c r="Q375" s="12"/>
      <c r="R375" s="12"/>
      <c r="S375" s="12"/>
      <c r="T375" s="12"/>
      <c r="U375" s="12"/>
      <c r="V375" s="12"/>
      <c r="W375" s="12"/>
      <c r="X375" s="12" t="s">
        <v>1562</v>
      </c>
      <c r="Y375" s="12"/>
      <c r="Z375" s="12"/>
      <c r="AA375" s="12"/>
      <c r="AB375" s="12"/>
      <c r="AC375" s="12"/>
      <c r="AD375" s="17"/>
    </row>
    <row r="376" spans="2:30" s="3" customFormat="1" ht="13.5" x14ac:dyDescent="0.25">
      <c r="B376" s="21" t="s">
        <v>663</v>
      </c>
      <c r="C376" s="25" t="s">
        <v>662</v>
      </c>
      <c r="D376" s="16"/>
      <c r="E376" s="12"/>
      <c r="F376" s="12"/>
      <c r="G376" s="12"/>
      <c r="H376" s="12"/>
      <c r="I376" s="12"/>
      <c r="J376" s="12"/>
      <c r="K376" s="12"/>
      <c r="L376" s="12"/>
      <c r="M376" s="12"/>
      <c r="N376" s="12"/>
      <c r="O376" s="12"/>
      <c r="P376" s="12"/>
      <c r="Q376" s="12"/>
      <c r="R376" s="12"/>
      <c r="S376" s="12"/>
      <c r="T376" s="12"/>
      <c r="U376" s="12"/>
      <c r="V376" s="12"/>
      <c r="W376" s="12"/>
      <c r="X376" s="12" t="s">
        <v>1562</v>
      </c>
      <c r="Y376" s="12"/>
      <c r="Z376" s="12"/>
      <c r="AA376" s="12"/>
      <c r="AB376" s="12"/>
      <c r="AC376" s="12"/>
      <c r="AD376" s="17"/>
    </row>
    <row r="377" spans="2:30" s="3" customFormat="1" ht="67.5" x14ac:dyDescent="0.25">
      <c r="B377" s="21" t="s">
        <v>664</v>
      </c>
      <c r="C377" s="25" t="s">
        <v>665</v>
      </c>
      <c r="D377" s="16"/>
      <c r="E377" s="12" t="str">
        <f>VLOOKUP(B377,'[1]ART 2 A)'!A:E,5,FALSE)</f>
        <v>Ex.Excepto: De sección transversal inferior o igual a 9.5 mm.</v>
      </c>
      <c r="F377" s="12"/>
      <c r="G377" s="12"/>
      <c r="H377" s="12"/>
      <c r="I377" s="12"/>
      <c r="J377" s="12"/>
      <c r="K377" s="12"/>
      <c r="L377" s="12"/>
      <c r="M377" s="12"/>
      <c r="N377" s="12"/>
      <c r="O377" s="12"/>
      <c r="P377" s="12"/>
      <c r="Q377" s="12"/>
      <c r="R377" s="12"/>
      <c r="S377" s="12"/>
      <c r="T377" s="12"/>
      <c r="U377" s="12"/>
      <c r="V377" s="12"/>
      <c r="W377" s="12"/>
      <c r="X377" s="12" t="s">
        <v>1652</v>
      </c>
      <c r="Y377" s="12"/>
      <c r="Z377" s="12"/>
      <c r="AA377" s="12"/>
      <c r="AB377" s="12"/>
      <c r="AC377" s="12"/>
      <c r="AD377" s="17"/>
    </row>
    <row r="378" spans="2:30" s="3" customFormat="1" ht="13.5" x14ac:dyDescent="0.25">
      <c r="B378" s="21" t="s">
        <v>666</v>
      </c>
      <c r="C378" s="25" t="s">
        <v>53</v>
      </c>
      <c r="D378" s="16"/>
      <c r="E378" s="12" t="str">
        <f>VLOOKUP(B378,'[1]ART 2 A)'!A:E,5,FALSE)</f>
        <v>Ex.</v>
      </c>
      <c r="F378" s="12"/>
      <c r="G378" s="12"/>
      <c r="H378" s="12"/>
      <c r="I378" s="12"/>
      <c r="J378" s="12"/>
      <c r="K378" s="12"/>
      <c r="L378" s="12"/>
      <c r="M378" s="12"/>
      <c r="N378" s="12"/>
      <c r="O378" s="12"/>
      <c r="P378" s="12"/>
      <c r="Q378" s="12"/>
      <c r="R378" s="12"/>
      <c r="S378" s="12"/>
      <c r="T378" s="12"/>
      <c r="U378" s="12"/>
      <c r="V378" s="12"/>
      <c r="W378" s="12"/>
      <c r="X378" s="12" t="s">
        <v>1562</v>
      </c>
      <c r="Y378" s="12"/>
      <c r="Z378" s="12"/>
      <c r="AA378" s="12"/>
      <c r="AB378" s="12"/>
      <c r="AC378" s="12"/>
      <c r="AD378" s="17"/>
    </row>
    <row r="379" spans="2:30" s="3" customFormat="1" ht="67.5" x14ac:dyDescent="0.25">
      <c r="B379" s="21" t="s">
        <v>667</v>
      </c>
      <c r="C379" s="25" t="s">
        <v>668</v>
      </c>
      <c r="D379" s="16"/>
      <c r="E379" s="12" t="str">
        <f>VLOOKUP(B379,'[1]ART 2 A)'!A:E,5,FALSE)</f>
        <v>Ex.</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7"/>
    </row>
    <row r="380" spans="2:30" s="3" customFormat="1" ht="27" x14ac:dyDescent="0.25">
      <c r="B380" s="21" t="s">
        <v>669</v>
      </c>
      <c r="C380" s="25" t="s">
        <v>670</v>
      </c>
      <c r="D380" s="16"/>
      <c r="E380" s="12" t="str">
        <f>VLOOKUP(B380,'[1]ART 2 A)'!A:E,5,FALSE)</f>
        <v>Ex.</v>
      </c>
      <c r="F380" s="12"/>
      <c r="G380" s="12"/>
      <c r="H380" s="12"/>
      <c r="I380" s="12"/>
      <c r="J380" s="12"/>
      <c r="K380" s="12"/>
      <c r="L380" s="12"/>
      <c r="M380" s="12"/>
      <c r="N380" s="12"/>
      <c r="O380" s="12"/>
      <c r="P380" s="12"/>
      <c r="Q380" s="12"/>
      <c r="R380" s="12"/>
      <c r="S380" s="12"/>
      <c r="T380" s="12"/>
      <c r="U380" s="12"/>
      <c r="V380" s="12"/>
      <c r="W380" s="12"/>
      <c r="X380" s="12" t="s">
        <v>1562</v>
      </c>
      <c r="Y380" s="12"/>
      <c r="Z380" s="12"/>
      <c r="AA380" s="12"/>
      <c r="AB380" s="12"/>
      <c r="AC380" s="12"/>
      <c r="AD380" s="17"/>
    </row>
    <row r="381" spans="2:30" s="3" customFormat="1" ht="54" x14ac:dyDescent="0.25">
      <c r="B381" s="21" t="s">
        <v>671</v>
      </c>
      <c r="C381" s="25" t="s">
        <v>672</v>
      </c>
      <c r="D381" s="16"/>
      <c r="E381" s="12" t="str">
        <f>VLOOKUP(B381,'[1]ART 2 A)'!A:E,5,FALSE)</f>
        <v>Ex.</v>
      </c>
      <c r="F381" s="12"/>
      <c r="G381" s="12"/>
      <c r="H381" s="12"/>
      <c r="I381" s="12"/>
      <c r="J381" s="12"/>
      <c r="K381" s="12"/>
      <c r="L381" s="12"/>
      <c r="M381" s="12" t="str">
        <f>VLOOKUP(B381,'[1]ART 9'!A:E,5,FALSE)</f>
        <v xml:space="preserve">Ex. </v>
      </c>
      <c r="N381" s="12"/>
      <c r="O381" s="12"/>
      <c r="P381" s="12"/>
      <c r="Q381" s="12"/>
      <c r="R381" s="12"/>
      <c r="S381" s="12"/>
      <c r="T381" s="12"/>
      <c r="U381" s="12"/>
      <c r="V381" s="12"/>
      <c r="W381" s="12"/>
      <c r="X381" s="12" t="s">
        <v>1562</v>
      </c>
      <c r="Y381" s="12"/>
      <c r="Z381" s="12"/>
      <c r="AA381" s="12"/>
      <c r="AB381" s="12"/>
      <c r="AC381" s="12"/>
      <c r="AD381" s="17"/>
    </row>
    <row r="382" spans="2:30" s="3" customFormat="1" ht="27" x14ac:dyDescent="0.25">
      <c r="B382" s="21" t="s">
        <v>673</v>
      </c>
      <c r="C382" s="25" t="s">
        <v>670</v>
      </c>
      <c r="D382" s="16"/>
      <c r="E382" s="12" t="str">
        <f>VLOOKUP(B382,'[1]ART 2 A)'!A:E,5,FALSE)</f>
        <v>Ex.</v>
      </c>
      <c r="F382" s="12"/>
      <c r="G382" s="12"/>
      <c r="H382" s="12"/>
      <c r="I382" s="12"/>
      <c r="J382" s="12"/>
      <c r="K382" s="12"/>
      <c r="L382" s="12"/>
      <c r="M382" s="12"/>
      <c r="N382" s="12"/>
      <c r="O382" s="12"/>
      <c r="P382" s="12"/>
      <c r="Q382" s="12"/>
      <c r="R382" s="12"/>
      <c r="S382" s="12"/>
      <c r="T382" s="12"/>
      <c r="U382" s="12"/>
      <c r="V382" s="12"/>
      <c r="W382" s="12"/>
      <c r="X382" s="12" t="s">
        <v>1562</v>
      </c>
      <c r="Y382" s="12"/>
      <c r="Z382" s="12"/>
      <c r="AA382" s="12"/>
      <c r="AB382" s="12"/>
      <c r="AC382" s="12"/>
      <c r="AD382" s="17"/>
    </row>
    <row r="383" spans="2:30" s="3" customFormat="1" ht="13.5" x14ac:dyDescent="0.25">
      <c r="B383" s="21" t="s">
        <v>674</v>
      </c>
      <c r="C383" s="25" t="s">
        <v>675</v>
      </c>
      <c r="D383" s="16"/>
      <c r="E383" s="12"/>
      <c r="F383" s="12"/>
      <c r="G383" s="12"/>
      <c r="H383" s="12"/>
      <c r="I383" s="12"/>
      <c r="J383" s="12"/>
      <c r="K383" s="12"/>
      <c r="L383" s="12"/>
      <c r="M383" s="12"/>
      <c r="N383" s="12"/>
      <c r="O383" s="12"/>
      <c r="P383" s="12"/>
      <c r="Q383" s="12"/>
      <c r="R383" s="12"/>
      <c r="S383" s="12"/>
      <c r="T383" s="12"/>
      <c r="U383" s="12"/>
      <c r="V383" s="12"/>
      <c r="W383" s="12"/>
      <c r="X383" s="12" t="s">
        <v>1562</v>
      </c>
      <c r="Y383" s="12"/>
      <c r="Z383" s="12"/>
      <c r="AA383" s="12"/>
      <c r="AB383" s="12"/>
      <c r="AC383" s="12"/>
      <c r="AD383" s="17"/>
    </row>
    <row r="384" spans="2:30" s="3" customFormat="1" ht="13.5" x14ac:dyDescent="0.25">
      <c r="B384" s="21" t="s">
        <v>676</v>
      </c>
      <c r="C384" s="25" t="s">
        <v>677</v>
      </c>
      <c r="D384" s="16"/>
      <c r="E384" s="12" t="str">
        <f>VLOOKUP(B384,'[1]ART 2 A)'!A:E,5,FALSE)</f>
        <v>Ex.</v>
      </c>
      <c r="F384" s="12"/>
      <c r="G384" s="12"/>
      <c r="H384" s="12"/>
      <c r="I384" s="12"/>
      <c r="J384" s="12"/>
      <c r="K384" s="12"/>
      <c r="L384" s="12"/>
      <c r="M384" s="12" t="str">
        <f>VLOOKUP(B384,'[1]ART 9'!A:E,5,FALSE)</f>
        <v xml:space="preserve">Ex. </v>
      </c>
      <c r="N384" s="12"/>
      <c r="O384" s="12"/>
      <c r="P384" s="12"/>
      <c r="Q384" s="12"/>
      <c r="R384" s="12"/>
      <c r="S384" s="12" t="s">
        <v>1562</v>
      </c>
      <c r="T384" s="12"/>
      <c r="U384" s="12"/>
      <c r="V384" s="12"/>
      <c r="W384" s="12"/>
      <c r="X384" s="12" t="s">
        <v>1562</v>
      </c>
      <c r="Y384" s="12"/>
      <c r="Z384" s="12"/>
      <c r="AA384" s="12"/>
      <c r="AB384" s="12"/>
      <c r="AC384" s="12"/>
      <c r="AD384" s="17"/>
    </row>
    <row r="385" spans="2:30" s="3" customFormat="1" ht="40.5" x14ac:dyDescent="0.25">
      <c r="B385" s="21" t="s">
        <v>678</v>
      </c>
      <c r="C385" s="25" t="s">
        <v>679</v>
      </c>
      <c r="D385" s="16"/>
      <c r="E385" s="12" t="str">
        <f>VLOOKUP(B385,'[1]ART 2 A)'!A:E,5,FALSE)</f>
        <v>Ex.Excepto: Con alma de hierro.</v>
      </c>
      <c r="F385" s="12"/>
      <c r="G385" s="12"/>
      <c r="H385" s="12"/>
      <c r="I385" s="12"/>
      <c r="J385" s="12"/>
      <c r="K385" s="12"/>
      <c r="L385" s="12"/>
      <c r="M385" s="12"/>
      <c r="N385" s="12"/>
      <c r="O385" s="12"/>
      <c r="P385" s="12"/>
      <c r="Q385" s="12"/>
      <c r="R385" s="12"/>
      <c r="S385" s="12" t="s">
        <v>1653</v>
      </c>
      <c r="T385" s="12"/>
      <c r="U385" s="12"/>
      <c r="V385" s="12"/>
      <c r="W385" s="12"/>
      <c r="X385" s="12" t="s">
        <v>1653</v>
      </c>
      <c r="Y385" s="12"/>
      <c r="Z385" s="12"/>
      <c r="AA385" s="12"/>
      <c r="AB385" s="12"/>
      <c r="AC385" s="12"/>
      <c r="AD385" s="17"/>
    </row>
    <row r="386" spans="2:30" s="3" customFormat="1" ht="54" x14ac:dyDescent="0.25">
      <c r="B386" s="21" t="s">
        <v>680</v>
      </c>
      <c r="C386" s="25" t="s">
        <v>681</v>
      </c>
      <c r="D386" s="16"/>
      <c r="E386" s="12" t="str">
        <f>VLOOKUP(B386,'[1]ART 2 A)'!A:E,5,FALSE)</f>
        <v>Ex.</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7"/>
    </row>
    <row r="387" spans="2:30" s="3" customFormat="1" ht="13.5" x14ac:dyDescent="0.25">
      <c r="B387" s="21" t="s">
        <v>682</v>
      </c>
      <c r="C387" s="25" t="s">
        <v>683</v>
      </c>
      <c r="D387" s="16" t="str">
        <f>VLOOKUP(B387,'[1]ART 1'!A:E,5,FALSE)</f>
        <v>Ex.</v>
      </c>
      <c r="E387" s="12" t="str">
        <f>VLOOKUP(B387,'[1]ART 2 A)'!A:E,5,FALSE)</f>
        <v>Ex.</v>
      </c>
      <c r="F387" s="12"/>
      <c r="G387" s="12"/>
      <c r="H387" s="12"/>
      <c r="I387" s="12"/>
      <c r="J387" s="12"/>
      <c r="K387" s="12"/>
      <c r="L387" s="12"/>
      <c r="M387" s="12"/>
      <c r="N387" s="12"/>
      <c r="O387" s="12" t="s">
        <v>1570</v>
      </c>
      <c r="P387" s="12"/>
      <c r="Q387" s="12"/>
      <c r="R387" s="12"/>
      <c r="S387" s="12"/>
      <c r="T387" s="12"/>
      <c r="U387" s="12"/>
      <c r="V387" s="12"/>
      <c r="W387" s="12"/>
      <c r="X387" s="12" t="s">
        <v>1571</v>
      </c>
      <c r="Y387" s="12"/>
      <c r="Z387" s="12"/>
      <c r="AA387" s="12"/>
      <c r="AB387" s="12"/>
      <c r="AC387" s="12"/>
      <c r="AD387" s="17"/>
    </row>
    <row r="388" spans="2:30" s="3" customFormat="1" ht="27" x14ac:dyDescent="0.25">
      <c r="B388" s="21" t="s">
        <v>684</v>
      </c>
      <c r="C388" s="25" t="s">
        <v>685</v>
      </c>
      <c r="D388" s="16" t="str">
        <f>VLOOKUP(B388,'[1]ART 1'!A:E,5,FALSE)</f>
        <v>5</v>
      </c>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7"/>
    </row>
    <row r="389" spans="2:30" s="3" customFormat="1" ht="13.5" x14ac:dyDescent="0.25">
      <c r="B389" s="21" t="s">
        <v>686</v>
      </c>
      <c r="C389" s="25" t="s">
        <v>53</v>
      </c>
      <c r="D389" s="16" t="str">
        <f>VLOOKUP(B389,'[1]ART 1'!A:E,5,FALSE)</f>
        <v>5</v>
      </c>
      <c r="E389" s="12" t="str">
        <f>VLOOKUP(B389,'[1]ART 2 A)'!A:E,5,FALSE)</f>
        <v>Ex.</v>
      </c>
      <c r="F389" s="12"/>
      <c r="G389" s="12"/>
      <c r="H389" s="12"/>
      <c r="I389" s="12"/>
      <c r="J389" s="12"/>
      <c r="K389" s="12" t="str">
        <f>VLOOKUP(B389,'[1]ART 7'!A:E,5,FALSE)</f>
        <v xml:space="preserve">5 </v>
      </c>
      <c r="L389" s="12"/>
      <c r="M389" s="12"/>
      <c r="N389" s="12"/>
      <c r="O389" s="12"/>
      <c r="P389" s="12"/>
      <c r="Q389" s="12" t="s">
        <v>1570</v>
      </c>
      <c r="R389" s="12"/>
      <c r="S389" s="12"/>
      <c r="T389" s="12"/>
      <c r="U389" s="12"/>
      <c r="V389" s="12"/>
      <c r="W389" s="12"/>
      <c r="X389" s="12" t="s">
        <v>1562</v>
      </c>
      <c r="Y389" s="12"/>
      <c r="Z389" s="12"/>
      <c r="AA389" s="12"/>
      <c r="AB389" s="12"/>
      <c r="AC389" s="12"/>
      <c r="AD389" s="17"/>
    </row>
    <row r="390" spans="2:30" s="3" customFormat="1" ht="13.5" x14ac:dyDescent="0.25">
      <c r="B390" s="21" t="s">
        <v>687</v>
      </c>
      <c r="C390" s="25" t="s">
        <v>683</v>
      </c>
      <c r="D390" s="16" t="str">
        <f>VLOOKUP(B390,'[1]ART 1'!A:E,5,FALSE)</f>
        <v>5</v>
      </c>
      <c r="E390" s="12" t="str">
        <f>VLOOKUP(B390,'[1]ART 2 A)'!A:E,5,FALSE)</f>
        <v>Ex.</v>
      </c>
      <c r="F390" s="12"/>
      <c r="G390" s="12"/>
      <c r="H390" s="12" t="str">
        <f>VLOOKUP(B390,'[1]ART IV'!A:E,5,FALSE)</f>
        <v xml:space="preserve">Ex. </v>
      </c>
      <c r="I390" s="12"/>
      <c r="J390" s="12"/>
      <c r="K390" s="12" t="str">
        <f>VLOOKUP(B390,'[1]ART 7'!A:E,5,FALSE)</f>
        <v xml:space="preserve">5 </v>
      </c>
      <c r="L390" s="12"/>
      <c r="M390" s="12"/>
      <c r="N390" s="12"/>
      <c r="O390" s="12"/>
      <c r="P390" s="12"/>
      <c r="Q390" s="12"/>
      <c r="R390" s="12"/>
      <c r="S390" s="12" t="s">
        <v>1570</v>
      </c>
      <c r="T390" s="12" t="s">
        <v>1562</v>
      </c>
      <c r="U390" s="12"/>
      <c r="V390" s="12"/>
      <c r="W390" s="12"/>
      <c r="X390" s="12" t="s">
        <v>1562</v>
      </c>
      <c r="Y390" s="12"/>
      <c r="Z390" s="12"/>
      <c r="AA390" s="12"/>
      <c r="AB390" s="12"/>
      <c r="AC390" s="12"/>
      <c r="AD390" s="17"/>
    </row>
    <row r="391" spans="2:30" s="3" customFormat="1" ht="27" x14ac:dyDescent="0.25">
      <c r="B391" s="21" t="s">
        <v>688</v>
      </c>
      <c r="C391" s="25" t="s">
        <v>685</v>
      </c>
      <c r="D391" s="16" t="str">
        <f>VLOOKUP(B391,'[1]ART 1'!A:E,5,FALSE)</f>
        <v>5</v>
      </c>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7"/>
    </row>
    <row r="392" spans="2:30" s="3" customFormat="1" ht="13.5" x14ac:dyDescent="0.25">
      <c r="B392" s="10" t="s">
        <v>689</v>
      </c>
      <c r="C392" s="25" t="s">
        <v>690</v>
      </c>
      <c r="D392" s="16"/>
      <c r="E392" s="12" t="str">
        <f>VLOOKUP(B392,'[1]ART 2 A)'!A:E,5,FALSE)</f>
        <v>Ex.</v>
      </c>
      <c r="F392" s="12"/>
      <c r="G392" s="12" t="str">
        <f>VLOOKUP(B392,'[1]ART 3'!A:E,5,FALSE)</f>
        <v xml:space="preserve">Ex. </v>
      </c>
      <c r="H392" s="12"/>
      <c r="I392" s="12"/>
      <c r="J392" s="12"/>
      <c r="K392" s="12"/>
      <c r="L392" s="12"/>
      <c r="M392" s="12"/>
      <c r="N392" s="12"/>
      <c r="O392" s="12"/>
      <c r="P392" s="12"/>
      <c r="Q392" s="12"/>
      <c r="R392" s="12"/>
      <c r="S392" s="12"/>
      <c r="T392" s="12"/>
      <c r="U392" s="12"/>
      <c r="V392" s="12"/>
      <c r="W392" s="12"/>
      <c r="X392" s="12" t="s">
        <v>1562</v>
      </c>
      <c r="Y392" s="12"/>
      <c r="Z392" s="12"/>
      <c r="AA392" s="12"/>
      <c r="AB392" s="12"/>
      <c r="AC392" s="12"/>
      <c r="AD392" s="17"/>
    </row>
    <row r="393" spans="2:30" s="3" customFormat="1" ht="13.5" x14ac:dyDescent="0.25">
      <c r="B393" s="10" t="s">
        <v>691</v>
      </c>
      <c r="C393" s="25" t="s">
        <v>53</v>
      </c>
      <c r="D393" s="16"/>
      <c r="E393" s="12" t="str">
        <f>VLOOKUP(B393,'[1]ART 2 A)'!A:E,5,FALSE)</f>
        <v>Ex.</v>
      </c>
      <c r="F393" s="12"/>
      <c r="G393" s="12"/>
      <c r="H393" s="12"/>
      <c r="I393" s="12"/>
      <c r="J393" s="12"/>
      <c r="K393" s="12"/>
      <c r="L393" s="12"/>
      <c r="M393" s="12"/>
      <c r="N393" s="12" t="s">
        <v>1562</v>
      </c>
      <c r="O393" s="12"/>
      <c r="P393" s="12"/>
      <c r="Q393" s="12"/>
      <c r="R393" s="12"/>
      <c r="S393" s="12" t="s">
        <v>1562</v>
      </c>
      <c r="T393" s="12"/>
      <c r="U393" s="12"/>
      <c r="V393" s="12"/>
      <c r="W393" s="12"/>
      <c r="X393" s="12" t="s">
        <v>1571</v>
      </c>
      <c r="Y393" s="12"/>
      <c r="Z393" s="12"/>
      <c r="AA393" s="12"/>
      <c r="AB393" s="12"/>
      <c r="AC393" s="12"/>
      <c r="AD393" s="17"/>
    </row>
    <row r="394" spans="2:30" s="3" customFormat="1" ht="13.5" x14ac:dyDescent="0.25">
      <c r="B394" s="10" t="s">
        <v>692</v>
      </c>
      <c r="C394" s="25" t="s">
        <v>53</v>
      </c>
      <c r="D394" s="16"/>
      <c r="E394" s="12" t="str">
        <f>VLOOKUP(B394,'[1]ART 2 A)'!A:E,5,FALSE)</f>
        <v>Ex.</v>
      </c>
      <c r="F394" s="12"/>
      <c r="G394" s="12"/>
      <c r="H394" s="12"/>
      <c r="I394" s="12"/>
      <c r="J394" s="12"/>
      <c r="K394" s="12"/>
      <c r="L394" s="12"/>
      <c r="M394" s="12"/>
      <c r="N394" s="12"/>
      <c r="O394" s="12"/>
      <c r="P394" s="12"/>
      <c r="Q394" s="12"/>
      <c r="R394" s="12"/>
      <c r="S394" s="12"/>
      <c r="T394" s="12"/>
      <c r="U394" s="12"/>
      <c r="V394" s="12"/>
      <c r="W394" s="12"/>
      <c r="X394" s="12" t="s">
        <v>1562</v>
      </c>
      <c r="Y394" s="12"/>
      <c r="Z394" s="12"/>
      <c r="AA394" s="12"/>
      <c r="AB394" s="12"/>
      <c r="AC394" s="12"/>
      <c r="AD394" s="17"/>
    </row>
    <row r="395" spans="2:30" s="3" customFormat="1" ht="13.5" x14ac:dyDescent="0.25">
      <c r="B395" s="10" t="s">
        <v>693</v>
      </c>
      <c r="C395" s="25" t="s">
        <v>53</v>
      </c>
      <c r="D395" s="16"/>
      <c r="E395" s="12" t="str">
        <f>VLOOKUP(B395,'[1]ART 2 A)'!A:E,5,FALSE)</f>
        <v>Ex.</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7"/>
    </row>
    <row r="396" spans="2:30" s="3" customFormat="1" ht="13.5" x14ac:dyDescent="0.25">
      <c r="B396" s="10" t="s">
        <v>694</v>
      </c>
      <c r="C396" s="25" t="s">
        <v>53</v>
      </c>
      <c r="D396" s="16"/>
      <c r="E396" s="12" t="str">
        <f>VLOOKUP(B396,'[1]ART 2 A)'!A:E,5,FALSE)</f>
        <v>Ex.</v>
      </c>
      <c r="F396" s="12"/>
      <c r="G396" s="12"/>
      <c r="H396" s="12"/>
      <c r="I396" s="12"/>
      <c r="J396" s="12"/>
      <c r="K396" s="12"/>
      <c r="L396" s="12"/>
      <c r="M396" s="12"/>
      <c r="N396" s="12"/>
      <c r="O396" s="12"/>
      <c r="P396" s="12"/>
      <c r="Q396" s="12"/>
      <c r="R396" s="12"/>
      <c r="S396" s="12"/>
      <c r="T396" s="12"/>
      <c r="U396" s="12"/>
      <c r="V396" s="12"/>
      <c r="W396" s="12"/>
      <c r="X396" s="12" t="s">
        <v>1562</v>
      </c>
      <c r="Y396" s="12"/>
      <c r="Z396" s="12"/>
      <c r="AA396" s="12"/>
      <c r="AB396" s="12"/>
      <c r="AC396" s="12"/>
      <c r="AD396" s="17"/>
    </row>
    <row r="397" spans="2:30" s="3" customFormat="1" ht="13.5" x14ac:dyDescent="0.25">
      <c r="B397" s="10" t="s">
        <v>695</v>
      </c>
      <c r="C397" s="25" t="s">
        <v>53</v>
      </c>
      <c r="D397" s="16"/>
      <c r="E397" s="12" t="str">
        <f>VLOOKUP(B397,'[1]ART 2 A)'!A:E,5,FALSE)</f>
        <v>Ex.</v>
      </c>
      <c r="F397" s="12"/>
      <c r="G397" s="12"/>
      <c r="H397" s="12"/>
      <c r="I397" s="12"/>
      <c r="J397" s="12"/>
      <c r="K397" s="12"/>
      <c r="L397" s="12"/>
      <c r="M397" s="12"/>
      <c r="N397" s="12"/>
      <c r="O397" s="12"/>
      <c r="P397" s="12"/>
      <c r="Q397" s="12"/>
      <c r="R397" s="12"/>
      <c r="S397" s="12"/>
      <c r="T397" s="12"/>
      <c r="U397" s="12"/>
      <c r="V397" s="12"/>
      <c r="W397" s="12"/>
      <c r="X397" s="12" t="s">
        <v>1562</v>
      </c>
      <c r="Y397" s="12"/>
      <c r="Z397" s="12"/>
      <c r="AA397" s="12"/>
      <c r="AB397" s="12"/>
      <c r="AC397" s="12"/>
      <c r="AD397" s="17"/>
    </row>
    <row r="398" spans="2:30" s="3" customFormat="1" ht="13.5" x14ac:dyDescent="0.25">
      <c r="B398" s="10" t="s">
        <v>696</v>
      </c>
      <c r="C398" s="25" t="s">
        <v>53</v>
      </c>
      <c r="D398" s="16"/>
      <c r="E398" s="12" t="str">
        <f>VLOOKUP(B398,'[1]ART 2 A)'!A:E,5,FALSE)</f>
        <v>Ex.</v>
      </c>
      <c r="F398" s="12"/>
      <c r="G398" s="12" t="str">
        <f>VLOOKUP(B398,'[1]ART 3'!A:E,5,FALSE)</f>
        <v xml:space="preserve">Ex. </v>
      </c>
      <c r="H398" s="12"/>
      <c r="I398" s="12"/>
      <c r="J398" s="12"/>
      <c r="K398" s="12"/>
      <c r="L398" s="12"/>
      <c r="M398" s="12"/>
      <c r="N398" s="12"/>
      <c r="O398" s="12"/>
      <c r="P398" s="12"/>
      <c r="Q398" s="12"/>
      <c r="R398" s="12"/>
      <c r="S398" s="12"/>
      <c r="T398" s="12"/>
      <c r="U398" s="12"/>
      <c r="V398" s="12"/>
      <c r="W398" s="12"/>
      <c r="X398" s="12" t="s">
        <v>1562</v>
      </c>
      <c r="Y398" s="12"/>
      <c r="Z398" s="12"/>
      <c r="AA398" s="12"/>
      <c r="AB398" s="12"/>
      <c r="AC398" s="12"/>
      <c r="AD398" s="17"/>
    </row>
    <row r="399" spans="2:30" s="3" customFormat="1" ht="13.5" x14ac:dyDescent="0.25">
      <c r="B399" s="10" t="s">
        <v>697</v>
      </c>
      <c r="C399" s="25" t="s">
        <v>53</v>
      </c>
      <c r="D399" s="16" t="str">
        <f>VLOOKUP(B399,'[1]ART 1'!A:E,5,FALSE)</f>
        <v>Ex.</v>
      </c>
      <c r="E399" s="12" t="str">
        <f>VLOOKUP(B399,'[1]ART 2 A)'!A:E,5,FALSE)</f>
        <v>Ex.</v>
      </c>
      <c r="F399" s="12"/>
      <c r="G399" s="12" t="str">
        <f>VLOOKUP(B399,'[1]ART 3'!A:E,5,FALSE)</f>
        <v xml:space="preserve">Ex. </v>
      </c>
      <c r="H399" s="12"/>
      <c r="I399" s="12"/>
      <c r="J399" s="12"/>
      <c r="K399" s="12"/>
      <c r="L399" s="12"/>
      <c r="M399" s="12"/>
      <c r="N399" s="12"/>
      <c r="O399" s="12"/>
      <c r="P399" s="12"/>
      <c r="Q399" s="12"/>
      <c r="R399" s="12"/>
      <c r="S399" s="12"/>
      <c r="T399" s="12"/>
      <c r="U399" s="12"/>
      <c r="V399" s="12"/>
      <c r="W399" s="12"/>
      <c r="X399" s="12" t="s">
        <v>1562</v>
      </c>
      <c r="Y399" s="12"/>
      <c r="Z399" s="12"/>
      <c r="AA399" s="12"/>
      <c r="AB399" s="12"/>
      <c r="AC399" s="12"/>
      <c r="AD399" s="17"/>
    </row>
    <row r="400" spans="2:30" s="3" customFormat="1" ht="13.5" x14ac:dyDescent="0.25">
      <c r="B400" s="10" t="s">
        <v>698</v>
      </c>
      <c r="C400" s="25" t="s">
        <v>699</v>
      </c>
      <c r="D400" s="16"/>
      <c r="E400" s="12" t="str">
        <f>VLOOKUP(B400,'[1]ART 2 A)'!A:E,5,FALSE)</f>
        <v>Ex.</v>
      </c>
      <c r="F400" s="12"/>
      <c r="G400" s="12"/>
      <c r="H400" s="12"/>
      <c r="I400" s="12"/>
      <c r="J400" s="12"/>
      <c r="K400" s="12"/>
      <c r="L400" s="12"/>
      <c r="M400" s="12"/>
      <c r="N400" s="12"/>
      <c r="O400" s="12"/>
      <c r="P400" s="12"/>
      <c r="Q400" s="12"/>
      <c r="R400" s="12"/>
      <c r="S400" s="12"/>
      <c r="T400" s="12"/>
      <c r="U400" s="12"/>
      <c r="V400" s="12"/>
      <c r="W400" s="12"/>
      <c r="X400" s="12" t="s">
        <v>1562</v>
      </c>
      <c r="Y400" s="12"/>
      <c r="Z400" s="12"/>
      <c r="AA400" s="12"/>
      <c r="AB400" s="12"/>
      <c r="AC400" s="12"/>
      <c r="AD400" s="17"/>
    </row>
    <row r="401" spans="2:30" s="3" customFormat="1" ht="13.5" x14ac:dyDescent="0.25">
      <c r="B401" s="10" t="s">
        <v>700</v>
      </c>
      <c r="C401" s="25" t="s">
        <v>53</v>
      </c>
      <c r="D401" s="16"/>
      <c r="E401" s="12" t="str">
        <f>VLOOKUP(B401,'[1]ART 2 A)'!A:E,5,FALSE)</f>
        <v>Ex.</v>
      </c>
      <c r="F401" s="12"/>
      <c r="G401" s="12"/>
      <c r="H401" s="12"/>
      <c r="I401" s="12"/>
      <c r="J401" s="12"/>
      <c r="K401" s="12"/>
      <c r="L401" s="12"/>
      <c r="M401" s="12"/>
      <c r="N401" s="12"/>
      <c r="O401" s="12"/>
      <c r="P401" s="12"/>
      <c r="Q401" s="12"/>
      <c r="R401" s="12"/>
      <c r="S401" s="12"/>
      <c r="T401" s="12"/>
      <c r="U401" s="12"/>
      <c r="V401" s="12"/>
      <c r="W401" s="12"/>
      <c r="X401" s="12" t="s">
        <v>1562</v>
      </c>
      <c r="Y401" s="12"/>
      <c r="Z401" s="12"/>
      <c r="AA401" s="12"/>
      <c r="AB401" s="12"/>
      <c r="AC401" s="12"/>
      <c r="AD401" s="17"/>
    </row>
    <row r="402" spans="2:30" s="3" customFormat="1" ht="27" x14ac:dyDescent="0.25">
      <c r="B402" s="10" t="s">
        <v>701</v>
      </c>
      <c r="C402" s="25" t="s">
        <v>702</v>
      </c>
      <c r="D402" s="16"/>
      <c r="E402" s="12"/>
      <c r="F402" s="12"/>
      <c r="G402" s="12"/>
      <c r="H402" s="12"/>
      <c r="I402" s="12"/>
      <c r="J402" s="12"/>
      <c r="K402" s="12"/>
      <c r="L402" s="12"/>
      <c r="M402" s="12"/>
      <c r="N402" s="12"/>
      <c r="O402" s="12"/>
      <c r="P402" s="12"/>
      <c r="Q402" s="12"/>
      <c r="R402" s="12"/>
      <c r="S402" s="12" t="s">
        <v>1562</v>
      </c>
      <c r="T402" s="12"/>
      <c r="U402" s="12"/>
      <c r="V402" s="12"/>
      <c r="W402" s="12"/>
      <c r="X402" s="12"/>
      <c r="Y402" s="12"/>
      <c r="Z402" s="12"/>
      <c r="AA402" s="12"/>
      <c r="AB402" s="12"/>
      <c r="AC402" s="12"/>
      <c r="AD402" s="17"/>
    </row>
    <row r="403" spans="2:30" s="3" customFormat="1" ht="13.5" x14ac:dyDescent="0.25">
      <c r="B403" s="10" t="s">
        <v>703</v>
      </c>
      <c r="C403" s="25" t="s">
        <v>53</v>
      </c>
      <c r="D403" s="16" t="str">
        <f>VLOOKUP(B403,'[1]ART 1'!A:E,5,FALSE)</f>
        <v>5</v>
      </c>
      <c r="E403" s="12" t="str">
        <f>VLOOKUP(B403,'[1]ART 2 A)'!A:E,5,FALSE)</f>
        <v>Ex.</v>
      </c>
      <c r="F403" s="12"/>
      <c r="G403" s="12"/>
      <c r="H403" s="12"/>
      <c r="I403" s="12"/>
      <c r="J403" s="12"/>
      <c r="K403" s="12"/>
      <c r="L403" s="12"/>
      <c r="M403" s="12"/>
      <c r="N403" s="12"/>
      <c r="O403" s="12" t="s">
        <v>1570</v>
      </c>
      <c r="P403" s="12"/>
      <c r="Q403" s="12"/>
      <c r="R403" s="12"/>
      <c r="S403" s="12" t="s">
        <v>1562</v>
      </c>
      <c r="T403" s="12"/>
      <c r="U403" s="12"/>
      <c r="V403" s="12"/>
      <c r="W403" s="12"/>
      <c r="X403" s="12"/>
      <c r="Y403" s="12"/>
      <c r="Z403" s="12"/>
      <c r="AA403" s="12"/>
      <c r="AB403" s="12"/>
      <c r="AC403" s="12"/>
      <c r="AD403" s="17"/>
    </row>
    <row r="404" spans="2:30" s="3" customFormat="1" ht="94.5" x14ac:dyDescent="0.25">
      <c r="B404" s="10" t="s">
        <v>704</v>
      </c>
      <c r="C404" s="25" t="s">
        <v>705</v>
      </c>
      <c r="D404" s="16"/>
      <c r="E404" s="12"/>
      <c r="F404" s="12"/>
      <c r="G404" s="12"/>
      <c r="H404" s="12"/>
      <c r="I404" s="12"/>
      <c r="J404" s="12"/>
      <c r="K404" s="12"/>
      <c r="L404" s="12"/>
      <c r="M404" s="12"/>
      <c r="N404" s="12"/>
      <c r="O404" s="12"/>
      <c r="P404" s="12"/>
      <c r="Q404" s="12"/>
      <c r="R404" s="12"/>
      <c r="S404" s="12"/>
      <c r="T404" s="12"/>
      <c r="U404" s="12"/>
      <c r="V404" s="12"/>
      <c r="W404" s="12"/>
      <c r="X404" s="12" t="s">
        <v>1562</v>
      </c>
      <c r="Y404" s="12"/>
      <c r="Z404" s="12"/>
      <c r="AA404" s="12"/>
      <c r="AB404" s="12"/>
      <c r="AC404" s="12"/>
      <c r="AD404" s="17"/>
    </row>
    <row r="405" spans="2:30" s="3" customFormat="1" ht="13.5" x14ac:dyDescent="0.25">
      <c r="B405" s="10" t="s">
        <v>706</v>
      </c>
      <c r="C405" s="25" t="s">
        <v>53</v>
      </c>
      <c r="D405" s="16" t="str">
        <f>VLOOKUP(B405,'[1]ART 1'!A:E,5,FALSE)</f>
        <v>5</v>
      </c>
      <c r="E405" s="12" t="str">
        <f>VLOOKUP(B405,'[1]ART 2 A)'!A:E,5,FALSE)</f>
        <v>Ex.</v>
      </c>
      <c r="F405" s="12"/>
      <c r="G405" s="12"/>
      <c r="H405" s="12"/>
      <c r="I405" s="12"/>
      <c r="J405" s="12"/>
      <c r="K405" s="12"/>
      <c r="L405" s="12"/>
      <c r="M405" s="12"/>
      <c r="N405" s="12"/>
      <c r="O405" s="12"/>
      <c r="P405" s="12"/>
      <c r="Q405" s="12"/>
      <c r="R405" s="12"/>
      <c r="S405" s="12"/>
      <c r="T405" s="12"/>
      <c r="U405" s="12"/>
      <c r="V405" s="12"/>
      <c r="W405" s="12"/>
      <c r="X405" s="12" t="s">
        <v>1562</v>
      </c>
      <c r="Y405" s="12"/>
      <c r="Z405" s="12"/>
      <c r="AA405" s="12"/>
      <c r="AB405" s="12"/>
      <c r="AC405" s="12"/>
      <c r="AD405" s="17"/>
    </row>
    <row r="406" spans="2:30" s="3" customFormat="1" ht="13.5" x14ac:dyDescent="0.25">
      <c r="B406" s="10" t="s">
        <v>707</v>
      </c>
      <c r="C406" s="25" t="s">
        <v>53</v>
      </c>
      <c r="D406" s="16"/>
      <c r="E406" s="12"/>
      <c r="F406" s="12"/>
      <c r="G406" s="12"/>
      <c r="H406" s="12"/>
      <c r="I406" s="12"/>
      <c r="J406" s="12"/>
      <c r="K406" s="12"/>
      <c r="L406" s="12"/>
      <c r="M406" s="12"/>
      <c r="N406" s="12"/>
      <c r="O406" s="12"/>
      <c r="P406" s="12"/>
      <c r="Q406" s="12"/>
      <c r="R406" s="12"/>
      <c r="S406" s="12"/>
      <c r="T406" s="12"/>
      <c r="U406" s="12"/>
      <c r="V406" s="12"/>
      <c r="W406" s="12"/>
      <c r="X406" s="12" t="s">
        <v>1562</v>
      </c>
      <c r="Y406" s="12"/>
      <c r="Z406" s="12"/>
      <c r="AA406" s="12"/>
      <c r="AB406" s="12"/>
      <c r="AC406" s="12"/>
      <c r="AD406" s="17"/>
    </row>
    <row r="407" spans="2:30" s="3" customFormat="1" ht="13.5" x14ac:dyDescent="0.25">
      <c r="B407" s="10" t="s">
        <v>708</v>
      </c>
      <c r="C407" s="25" t="s">
        <v>53</v>
      </c>
      <c r="D407" s="16" t="str">
        <f>VLOOKUP(B407,'[1]ART 1'!A:E,5,FALSE)</f>
        <v>5</v>
      </c>
      <c r="E407" s="12" t="str">
        <f>VLOOKUP(B407,'[1]ART 2 A)'!A:E,5,FALSE)</f>
        <v>Ex.</v>
      </c>
      <c r="F407" s="12"/>
      <c r="G407" s="12" t="str">
        <f>VLOOKUP(B407,'[1]ART 3'!A:E,5,FALSE)</f>
        <v xml:space="preserve">Ex. </v>
      </c>
      <c r="H407" s="12" t="str">
        <f>VLOOKUP(B407,'[1]ART IV'!A:E,5,FALSE)</f>
        <v xml:space="preserve">Ex. </v>
      </c>
      <c r="I407" s="12"/>
      <c r="J407" s="12"/>
      <c r="K407" s="12"/>
      <c r="L407" s="12"/>
      <c r="M407" s="12"/>
      <c r="N407" s="12"/>
      <c r="O407" s="12"/>
      <c r="P407" s="12"/>
      <c r="Q407" s="12" t="s">
        <v>1570</v>
      </c>
      <c r="R407" s="12"/>
      <c r="S407" s="12" t="s">
        <v>1562</v>
      </c>
      <c r="T407" s="12"/>
      <c r="U407" s="12"/>
      <c r="V407" s="12"/>
      <c r="W407" s="12"/>
      <c r="X407" s="12" t="s">
        <v>1562</v>
      </c>
      <c r="Y407" s="12"/>
      <c r="Z407" s="12"/>
      <c r="AA407" s="12"/>
      <c r="AB407" s="12"/>
      <c r="AC407" s="12"/>
      <c r="AD407" s="17"/>
    </row>
    <row r="408" spans="2:30" s="3" customFormat="1" ht="27" x14ac:dyDescent="0.25">
      <c r="B408" s="10" t="s">
        <v>709</v>
      </c>
      <c r="C408" s="25" t="s">
        <v>710</v>
      </c>
      <c r="D408" s="16" t="str">
        <f>VLOOKUP(B408,'[1]ART 1'!A:E,5,FALSE)</f>
        <v>5</v>
      </c>
      <c r="E408" s="12" t="str">
        <f>VLOOKUP(B408,'[1]ART 2 A)'!A:E,5,FALSE)</f>
        <v>Ex.</v>
      </c>
      <c r="F408" s="12"/>
      <c r="G408" s="12"/>
      <c r="H408" s="12"/>
      <c r="I408" s="12"/>
      <c r="J408" s="12"/>
      <c r="K408" s="12"/>
      <c r="L408" s="12"/>
      <c r="M408" s="12"/>
      <c r="N408" s="12"/>
      <c r="O408" s="12"/>
      <c r="P408" s="12"/>
      <c r="Q408" s="12"/>
      <c r="R408" s="12"/>
      <c r="S408" s="12"/>
      <c r="T408" s="12"/>
      <c r="U408" s="12"/>
      <c r="V408" s="12"/>
      <c r="W408" s="12"/>
      <c r="X408" s="12" t="s">
        <v>1571</v>
      </c>
      <c r="Y408" s="12"/>
      <c r="Z408" s="12"/>
      <c r="AA408" s="12"/>
      <c r="AB408" s="12"/>
      <c r="AC408" s="12"/>
      <c r="AD408" s="17"/>
    </row>
    <row r="409" spans="2:30" s="3" customFormat="1" ht="13.5" x14ac:dyDescent="0.25">
      <c r="B409" s="10" t="s">
        <v>711</v>
      </c>
      <c r="C409" s="25" t="s">
        <v>712</v>
      </c>
      <c r="D409" s="16" t="str">
        <f>VLOOKUP(B409,'[1]ART 1'!A:E,5,FALSE)</f>
        <v>5</v>
      </c>
      <c r="E409" s="12" t="str">
        <f>VLOOKUP(B409,'[1]ART 2 A)'!A:E,5,FALSE)</f>
        <v>Ex.</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7"/>
    </row>
    <row r="410" spans="2:30" s="3" customFormat="1" ht="13.5" x14ac:dyDescent="0.25">
      <c r="B410" s="10" t="s">
        <v>713</v>
      </c>
      <c r="C410" s="25" t="s">
        <v>714</v>
      </c>
      <c r="D410" s="16" t="str">
        <f>VLOOKUP(B410,'[1]ART 1'!A:E,5,FALSE)</f>
        <v>5</v>
      </c>
      <c r="E410" s="12" t="str">
        <f>VLOOKUP(B410,'[1]ART 2 A)'!A:E,5,FALSE)</f>
        <v>Ex.</v>
      </c>
      <c r="F410" s="12"/>
      <c r="G410" s="12" t="str">
        <f>VLOOKUP(B410,'[1]ART 3'!A:E,5,FALSE)</f>
        <v xml:space="preserve">Ex. </v>
      </c>
      <c r="H410" s="12" t="str">
        <f>VLOOKUP(B410,'[1]ART IV'!A:E,5,FALSE)</f>
        <v xml:space="preserve">Ex. </v>
      </c>
      <c r="I410" s="12"/>
      <c r="J410" s="12">
        <v>5</v>
      </c>
      <c r="K410" s="12" t="str">
        <f>VLOOKUP(B410,'[1]ART 7'!A:E,5,FALSE)</f>
        <v xml:space="preserve">5 </v>
      </c>
      <c r="L410" s="12" t="str">
        <f>VLOOKUP(B410,'[1]ART 8'!A:E,5,FALSE)</f>
        <v xml:space="preserve">Ex. </v>
      </c>
      <c r="M410" s="12" t="str">
        <f>VLOOKUP(B410,'[1]ART 9'!A:E,5,FALSE)</f>
        <v xml:space="preserve">Ex. </v>
      </c>
      <c r="N410" s="12"/>
      <c r="O410" s="12" t="s">
        <v>1570</v>
      </c>
      <c r="P410" s="12" t="s">
        <v>1570</v>
      </c>
      <c r="Q410" s="12" t="s">
        <v>1570</v>
      </c>
      <c r="R410" s="12"/>
      <c r="S410" s="12" t="s">
        <v>1562</v>
      </c>
      <c r="T410" s="12"/>
      <c r="U410" s="12"/>
      <c r="V410" s="12"/>
      <c r="W410" s="12"/>
      <c r="X410" s="12" t="s">
        <v>1562</v>
      </c>
      <c r="Y410" s="12"/>
      <c r="Z410" s="12"/>
      <c r="AA410" s="12"/>
      <c r="AB410" s="12"/>
      <c r="AC410" s="12"/>
      <c r="AD410" s="17"/>
    </row>
    <row r="411" spans="2:30" s="3" customFormat="1" ht="13.5" x14ac:dyDescent="0.25">
      <c r="B411" s="21" t="s">
        <v>715</v>
      </c>
      <c r="C411" s="25" t="s">
        <v>157</v>
      </c>
      <c r="D411" s="16" t="str">
        <f>VLOOKUP(B411,'[1]ART 1'!A:E,5,FALSE)</f>
        <v>5</v>
      </c>
      <c r="E411" s="12" t="str">
        <f>VLOOKUP(B411,'[1]ART 2 A)'!A:E,5,FALSE)</f>
        <v>Ex.</v>
      </c>
      <c r="F411" s="12"/>
      <c r="G411" s="12"/>
      <c r="H411" s="12" t="str">
        <f>VLOOKUP(B411,'[1]ART IV'!A:E,5,FALSE)</f>
        <v xml:space="preserve">Ex. </v>
      </c>
      <c r="I411" s="12"/>
      <c r="J411" s="12"/>
      <c r="K411" s="12"/>
      <c r="L411" s="12"/>
      <c r="M411" s="12"/>
      <c r="N411" s="12"/>
      <c r="O411" s="12"/>
      <c r="P411" s="12"/>
      <c r="Q411" s="12"/>
      <c r="R411" s="12"/>
      <c r="S411" s="12"/>
      <c r="T411" s="12"/>
      <c r="U411" s="12"/>
      <c r="V411" s="12"/>
      <c r="W411" s="12"/>
      <c r="X411" s="12" t="s">
        <v>1562</v>
      </c>
      <c r="Y411" s="12"/>
      <c r="Z411" s="12"/>
      <c r="AA411" s="12"/>
      <c r="AB411" s="12"/>
      <c r="AC411" s="12"/>
      <c r="AD411" s="17"/>
    </row>
    <row r="412" spans="2:30" s="3" customFormat="1" ht="27" x14ac:dyDescent="0.25">
      <c r="B412" s="9" t="s">
        <v>716</v>
      </c>
      <c r="C412" s="25" t="s">
        <v>717</v>
      </c>
      <c r="D412" s="16" t="str">
        <f>VLOOKUP(B412,'[1]ART 1'!A:E,5,FALSE)</f>
        <v>5</v>
      </c>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7"/>
    </row>
    <row r="413" spans="2:30" s="3" customFormat="1" ht="13.5" x14ac:dyDescent="0.25">
      <c r="B413" s="10" t="s">
        <v>718</v>
      </c>
      <c r="C413" s="25" t="s">
        <v>719</v>
      </c>
      <c r="D413" s="16" t="str">
        <f>VLOOKUP(B413,'[1]ART 1'!A:E,5,FALSE)</f>
        <v>5</v>
      </c>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7"/>
    </row>
    <row r="414" spans="2:30" s="3" customFormat="1" ht="27" x14ac:dyDescent="0.25">
      <c r="B414" s="10" t="s">
        <v>720</v>
      </c>
      <c r="C414" s="25" t="s">
        <v>721</v>
      </c>
      <c r="D414" s="16" t="str">
        <f>VLOOKUP(B414,'[1]ART 1'!A:E,5,FALSE)</f>
        <v>5</v>
      </c>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7"/>
    </row>
    <row r="415" spans="2:30" s="3" customFormat="1" ht="13.5" x14ac:dyDescent="0.25">
      <c r="B415" s="10" t="s">
        <v>722</v>
      </c>
      <c r="C415" s="25" t="s">
        <v>53</v>
      </c>
      <c r="D415" s="16" t="str">
        <f>VLOOKUP(B415,'[1]ART 1'!A:E,5,FALSE)</f>
        <v>5</v>
      </c>
      <c r="E415" s="12" t="str">
        <f>VLOOKUP(B415,'[1]ART 2 A)'!A:E,5,FALSE)</f>
        <v>Ex.</v>
      </c>
      <c r="F415" s="12"/>
      <c r="G415" s="12"/>
      <c r="H415" s="12" t="str">
        <f>VLOOKUP(B415,'[1]ART IV'!A:E,5,FALSE)</f>
        <v xml:space="preserve">Ex. </v>
      </c>
      <c r="I415" s="12"/>
      <c r="J415" s="12"/>
      <c r="K415" s="12"/>
      <c r="L415" s="12"/>
      <c r="M415" s="12"/>
      <c r="N415" s="12"/>
      <c r="O415" s="12"/>
      <c r="P415" s="12"/>
      <c r="Q415" s="12"/>
      <c r="R415" s="12"/>
      <c r="S415" s="12"/>
      <c r="T415" s="12"/>
      <c r="U415" s="12"/>
      <c r="V415" s="12"/>
      <c r="W415" s="12"/>
      <c r="X415" s="12"/>
      <c r="Y415" s="12"/>
      <c r="Z415" s="12"/>
      <c r="AA415" s="12"/>
      <c r="AB415" s="12"/>
      <c r="AC415" s="12"/>
      <c r="AD415" s="17"/>
    </row>
    <row r="416" spans="2:30" s="3" customFormat="1" ht="27" x14ac:dyDescent="0.25">
      <c r="B416" s="10" t="s">
        <v>723</v>
      </c>
      <c r="C416" s="25" t="s">
        <v>724</v>
      </c>
      <c r="D416" s="16" t="str">
        <f>VLOOKUP(B416,'[1]ART 1'!A:E,5,FALSE)</f>
        <v>5</v>
      </c>
      <c r="E416" s="12" t="str">
        <f>VLOOKUP(B416,'[1]ART 2 A)'!A:E,5,FALSE)</f>
        <v>Ex.</v>
      </c>
      <c r="F416" s="12"/>
      <c r="G416" s="12" t="str">
        <f>VLOOKUP(B416,'[1]ART 3'!A:E,5,FALSE)</f>
        <v xml:space="preserve">Ex. </v>
      </c>
      <c r="H416" s="12" t="str">
        <f>VLOOKUP(B416,'[1]ART IV'!A:E,5,FALSE)</f>
        <v xml:space="preserve">Ex. </v>
      </c>
      <c r="I416" s="12"/>
      <c r="J416" s="12"/>
      <c r="K416" s="12"/>
      <c r="L416" s="12"/>
      <c r="M416" s="12"/>
      <c r="N416" s="12"/>
      <c r="O416" s="12"/>
      <c r="P416" s="12"/>
      <c r="Q416" s="12" t="s">
        <v>1570</v>
      </c>
      <c r="R416" s="12"/>
      <c r="S416" s="12"/>
      <c r="T416" s="12"/>
      <c r="U416" s="12"/>
      <c r="V416" s="12"/>
      <c r="W416" s="12"/>
      <c r="X416" s="12" t="s">
        <v>1562</v>
      </c>
      <c r="Y416" s="12"/>
      <c r="Z416" s="12"/>
      <c r="AA416" s="12"/>
      <c r="AB416" s="12"/>
      <c r="AC416" s="12"/>
      <c r="AD416" s="17"/>
    </row>
    <row r="417" spans="2:30" s="3" customFormat="1" ht="40.5" x14ac:dyDescent="0.25">
      <c r="B417" s="10" t="s">
        <v>725</v>
      </c>
      <c r="C417" s="25" t="s">
        <v>726</v>
      </c>
      <c r="D417" s="16" t="str">
        <f>VLOOKUP(B417,'[1]ART 1'!A:E,5,FALSE)</f>
        <v>5</v>
      </c>
      <c r="E417" s="12" t="str">
        <f>VLOOKUP(B417,'[1]ART 2 A)'!A:E,5,FALSE)</f>
        <v>Ex.</v>
      </c>
      <c r="F417" s="12"/>
      <c r="G417" s="12"/>
      <c r="H417" s="12" t="str">
        <f>VLOOKUP(B417,'[1]ART IV'!A:E,5,FALSE)</f>
        <v xml:space="preserve">Ex. </v>
      </c>
      <c r="I417" s="12"/>
      <c r="J417" s="12"/>
      <c r="K417" s="12"/>
      <c r="L417" s="12"/>
      <c r="M417" s="12"/>
      <c r="N417" s="12"/>
      <c r="O417" s="12"/>
      <c r="P417" s="12"/>
      <c r="Q417" s="12" t="s">
        <v>1570</v>
      </c>
      <c r="R417" s="12"/>
      <c r="S417" s="12"/>
      <c r="T417" s="12"/>
      <c r="U417" s="12"/>
      <c r="V417" s="12" t="s">
        <v>1570</v>
      </c>
      <c r="W417" s="12"/>
      <c r="X417" s="12" t="s">
        <v>1562</v>
      </c>
      <c r="Y417" s="12"/>
      <c r="Z417" s="12"/>
      <c r="AA417" s="12"/>
      <c r="AB417" s="12"/>
      <c r="AC417" s="12"/>
      <c r="AD417" s="17"/>
    </row>
    <row r="418" spans="2:30" s="3" customFormat="1" ht="13.5" x14ac:dyDescent="0.25">
      <c r="B418" s="10" t="s">
        <v>727</v>
      </c>
      <c r="C418" s="25" t="s">
        <v>157</v>
      </c>
      <c r="D418" s="16" t="str">
        <f>VLOOKUP(B418,'[1]ART 1'!A:E,5,FALSE)</f>
        <v>5</v>
      </c>
      <c r="E418" s="12" t="str">
        <f>VLOOKUP(B418,'[1]ART 2 A)'!A:E,5,FALSE)</f>
        <v>Ex.</v>
      </c>
      <c r="F418" s="12"/>
      <c r="G418" s="12"/>
      <c r="H418" s="12"/>
      <c r="I418" s="12"/>
      <c r="J418" s="12"/>
      <c r="K418" s="12"/>
      <c r="L418" s="12"/>
      <c r="M418" s="12"/>
      <c r="N418" s="12"/>
      <c r="O418" s="12"/>
      <c r="P418" s="12"/>
      <c r="Q418" s="12"/>
      <c r="R418" s="12"/>
      <c r="S418" s="12"/>
      <c r="T418" s="12"/>
      <c r="U418" s="12"/>
      <c r="V418" s="12"/>
      <c r="W418" s="12"/>
      <c r="X418" s="12" t="s">
        <v>1562</v>
      </c>
      <c r="Y418" s="12"/>
      <c r="Z418" s="12"/>
      <c r="AA418" s="12"/>
      <c r="AB418" s="12"/>
      <c r="AC418" s="12"/>
      <c r="AD418" s="17"/>
    </row>
    <row r="419" spans="2:30" s="3" customFormat="1" ht="67.5" x14ac:dyDescent="0.25">
      <c r="B419" s="10" t="s">
        <v>728</v>
      </c>
      <c r="C419" s="25" t="s">
        <v>729</v>
      </c>
      <c r="D419" s="16" t="str">
        <f>VLOOKUP(B419,'[1]ART 1'!A:E,5,FALSE)</f>
        <v>5</v>
      </c>
      <c r="E419" s="12" t="str">
        <f>VLOOKUP(B419,'[1]ART 2 A)'!A:E,5,FALSE)</f>
        <v>Ex.</v>
      </c>
      <c r="F419" s="12"/>
      <c r="G419" s="12" t="str">
        <f>VLOOKUP(B419,'[1]ART 3'!A:E,5,FALSE)</f>
        <v>Ex. Excepto: Limas, con peso inferior o igual a 22 g.</v>
      </c>
      <c r="H419" s="12" t="str">
        <f>VLOOKUP(B419,'[1]ART IV'!A:E,5,FALSE)</f>
        <v>Ex. Únicamente: Limas, con peso inferior o igual a 22 g.</v>
      </c>
      <c r="I419" s="12"/>
      <c r="J419" s="12"/>
      <c r="K419" s="12"/>
      <c r="L419" s="12"/>
      <c r="M419" s="12"/>
      <c r="N419" s="12"/>
      <c r="O419" s="12"/>
      <c r="P419" s="12"/>
      <c r="Q419" s="12"/>
      <c r="R419" s="12"/>
      <c r="S419" s="12"/>
      <c r="T419" s="12"/>
      <c r="U419" s="12"/>
      <c r="V419" s="12"/>
      <c r="W419" s="12"/>
      <c r="X419" s="12" t="s">
        <v>1562</v>
      </c>
      <c r="Y419" s="12"/>
      <c r="Z419" s="12"/>
      <c r="AA419" s="12"/>
      <c r="AB419" s="12"/>
      <c r="AC419" s="12"/>
      <c r="AD419" s="17"/>
    </row>
    <row r="420" spans="2:30" s="3" customFormat="1" ht="13.5" x14ac:dyDescent="0.25">
      <c r="B420" s="10" t="s">
        <v>730</v>
      </c>
      <c r="C420" s="25" t="s">
        <v>53</v>
      </c>
      <c r="D420" s="16" t="str">
        <f>VLOOKUP(B420,'[1]ART 1'!A:E,5,FALSE)</f>
        <v>5</v>
      </c>
      <c r="E420" s="12" t="str">
        <f>VLOOKUP(B420,'[1]ART 2 A)'!A:E,5,FALSE)</f>
        <v>Ex.</v>
      </c>
      <c r="F420" s="12"/>
      <c r="G420" s="12" t="str">
        <f>VLOOKUP(B420,'[1]ART 3'!A:E,5,FALSE)</f>
        <v xml:space="preserve">Ex. </v>
      </c>
      <c r="H420" s="12" t="str">
        <f>VLOOKUP(B420,'[1]ART IV'!A:E,5,FALSE)</f>
        <v xml:space="preserve">Ex. </v>
      </c>
      <c r="I420" s="12"/>
      <c r="J420" s="12"/>
      <c r="K420" s="12"/>
      <c r="L420" s="12"/>
      <c r="M420" s="12"/>
      <c r="N420" s="12"/>
      <c r="O420" s="12"/>
      <c r="P420" s="12"/>
      <c r="Q420" s="12"/>
      <c r="R420" s="12"/>
      <c r="S420" s="12"/>
      <c r="T420" s="12"/>
      <c r="U420" s="12"/>
      <c r="V420" s="12"/>
      <c r="W420" s="12"/>
      <c r="X420" s="12" t="s">
        <v>1562</v>
      </c>
      <c r="Y420" s="12"/>
      <c r="Z420" s="12"/>
      <c r="AA420" s="12"/>
      <c r="AB420" s="12"/>
      <c r="AC420" s="12"/>
      <c r="AD420" s="17"/>
    </row>
    <row r="421" spans="2:30" s="3" customFormat="1" ht="27" x14ac:dyDescent="0.25">
      <c r="B421" s="10" t="s">
        <v>731</v>
      </c>
      <c r="C421" s="25" t="s">
        <v>732</v>
      </c>
      <c r="D421" s="16" t="str">
        <f>VLOOKUP(B421,'[1]ART 1'!A:E,5,FALSE)</f>
        <v>5</v>
      </c>
      <c r="E421" s="12" t="str">
        <f>VLOOKUP(B421,'[1]ART 2 A)'!A:E,5,FALSE)</f>
        <v>Ex.</v>
      </c>
      <c r="F421" s="12"/>
      <c r="G421" s="12" t="str">
        <f>VLOOKUP(B421,'[1]ART 3'!A:E,5,FALSE)</f>
        <v xml:space="preserve">Ex. </v>
      </c>
      <c r="H421" s="12"/>
      <c r="I421" s="12"/>
      <c r="J421" s="12"/>
      <c r="K421" s="12"/>
      <c r="L421" s="12"/>
      <c r="M421" s="12"/>
      <c r="N421" s="12"/>
      <c r="O421" s="12"/>
      <c r="P421" s="12"/>
      <c r="Q421" s="12"/>
      <c r="R421" s="12"/>
      <c r="S421" s="12"/>
      <c r="T421" s="12"/>
      <c r="U421" s="12"/>
      <c r="V421" s="12"/>
      <c r="W421" s="12"/>
      <c r="X421" s="12" t="s">
        <v>1562</v>
      </c>
      <c r="Y421" s="12"/>
      <c r="Z421" s="12"/>
      <c r="AA421" s="12"/>
      <c r="AB421" s="12"/>
      <c r="AC421" s="12"/>
      <c r="AD421" s="17"/>
    </row>
    <row r="422" spans="2:30" s="3" customFormat="1" ht="54" x14ac:dyDescent="0.25">
      <c r="B422" s="10" t="s">
        <v>733</v>
      </c>
      <c r="C422" s="25" t="s">
        <v>734</v>
      </c>
      <c r="D422" s="16" t="str">
        <f>VLOOKUP(B422,'[1]ART 1'!A:E,5,FALSE)</f>
        <v>5</v>
      </c>
      <c r="E422" s="12" t="str">
        <f>VLOOKUP(B422,'[1]ART 2 A)'!A:E,5,FALSE)</f>
        <v>Ex.</v>
      </c>
      <c r="F422" s="12"/>
      <c r="G422" s="12" t="str">
        <f>VLOOKUP(B422,'[1]ART 3'!A:E,5,FALSE)</f>
        <v>Ex. Únicamente: Cortatubos.</v>
      </c>
      <c r="H422" s="12"/>
      <c r="I422" s="12"/>
      <c r="J422" s="12"/>
      <c r="K422" s="12"/>
      <c r="L422" s="12"/>
      <c r="M422" s="12"/>
      <c r="N422" s="12"/>
      <c r="O422" s="12"/>
      <c r="P422" s="12"/>
      <c r="Q422" s="12"/>
      <c r="R422" s="12"/>
      <c r="S422" s="12"/>
      <c r="T422" s="12"/>
      <c r="U422" s="12"/>
      <c r="V422" s="12"/>
      <c r="W422" s="12"/>
      <c r="X422" s="12" t="s">
        <v>1654</v>
      </c>
      <c r="Y422" s="12"/>
      <c r="Z422" s="12"/>
      <c r="AA422" s="12"/>
      <c r="AB422" s="12"/>
      <c r="AC422" s="12"/>
      <c r="AD422" s="17"/>
    </row>
    <row r="423" spans="2:30" s="3" customFormat="1" ht="40.5" x14ac:dyDescent="0.25">
      <c r="B423" s="10" t="s">
        <v>735</v>
      </c>
      <c r="C423" s="25" t="s">
        <v>736</v>
      </c>
      <c r="D423" s="16"/>
      <c r="E423" s="12" t="str">
        <f>VLOOKUP(B423,'[1]ART 2 A)'!A:E,5,FALSE)</f>
        <v>Ex.</v>
      </c>
      <c r="F423" s="12"/>
      <c r="G423" s="12" t="str">
        <f>VLOOKUP(B423,'[1]ART 3'!A:E,5,FALSE)</f>
        <v xml:space="preserve">Ex. </v>
      </c>
      <c r="H423" s="12"/>
      <c r="I423" s="12"/>
      <c r="J423" s="12"/>
      <c r="K423" s="12"/>
      <c r="L423" s="12"/>
      <c r="M423" s="12"/>
      <c r="N423" s="12"/>
      <c r="O423" s="12"/>
      <c r="P423" s="12"/>
      <c r="Q423" s="12"/>
      <c r="R423" s="12"/>
      <c r="S423" s="12"/>
      <c r="T423" s="12"/>
      <c r="U423" s="12"/>
      <c r="V423" s="12"/>
      <c r="W423" s="12"/>
      <c r="X423" s="12" t="s">
        <v>1562</v>
      </c>
      <c r="Y423" s="12"/>
      <c r="Z423" s="12"/>
      <c r="AA423" s="12"/>
      <c r="AB423" s="12"/>
      <c r="AC423" s="12"/>
      <c r="AD423" s="17"/>
    </row>
    <row r="424" spans="2:30" s="3" customFormat="1" ht="27" x14ac:dyDescent="0.25">
      <c r="B424" s="10" t="s">
        <v>737</v>
      </c>
      <c r="C424" s="25" t="s">
        <v>738</v>
      </c>
      <c r="D424" s="16"/>
      <c r="E424" s="12" t="str">
        <f>VLOOKUP(B424,'[1]ART 2 A)'!A:E,5,FALSE)</f>
        <v>Ex.</v>
      </c>
      <c r="F424" s="12"/>
      <c r="G424" s="12" t="str">
        <f>VLOOKUP(B424,'[1]ART 3'!A:E,5,FALSE)</f>
        <v xml:space="preserve">Ex. </v>
      </c>
      <c r="H424" s="12"/>
      <c r="I424" s="12"/>
      <c r="J424" s="12"/>
      <c r="K424" s="12"/>
      <c r="L424" s="12"/>
      <c r="M424" s="12"/>
      <c r="N424" s="12"/>
      <c r="O424" s="12"/>
      <c r="P424" s="12"/>
      <c r="Q424" s="12"/>
      <c r="R424" s="12"/>
      <c r="S424" s="12"/>
      <c r="T424" s="12"/>
      <c r="U424" s="12"/>
      <c r="V424" s="12"/>
      <c r="W424" s="12"/>
      <c r="X424" s="12"/>
      <c r="Y424" s="12"/>
      <c r="Z424" s="12"/>
      <c r="AA424" s="12"/>
      <c r="AB424" s="12"/>
      <c r="AC424" s="12"/>
      <c r="AD424" s="17"/>
    </row>
    <row r="425" spans="2:30" s="3" customFormat="1" ht="13.5" x14ac:dyDescent="0.25">
      <c r="B425" s="10" t="s">
        <v>739</v>
      </c>
      <c r="C425" s="25" t="s">
        <v>53</v>
      </c>
      <c r="D425" s="16"/>
      <c r="E425" s="12" t="str">
        <f>VLOOKUP(B425,'[1]ART 2 A)'!A:E,5,FALSE)</f>
        <v>Ex.</v>
      </c>
      <c r="F425" s="12"/>
      <c r="G425" s="12" t="str">
        <f>VLOOKUP(B425,'[1]ART 3'!A:E,5,FALSE)</f>
        <v xml:space="preserve">Ex. </v>
      </c>
      <c r="H425" s="12" t="str">
        <f>VLOOKUP(B425,'[1]ART IV'!A:E,5,FALSE)</f>
        <v xml:space="preserve">Ex. </v>
      </c>
      <c r="I425" s="12"/>
      <c r="J425" s="12"/>
      <c r="K425" s="12" t="str">
        <f>VLOOKUP(B425,'[1]ART 7'!A:E,5,FALSE)</f>
        <v xml:space="preserve">5 </v>
      </c>
      <c r="L425" s="12"/>
      <c r="M425" s="12"/>
      <c r="N425" s="12"/>
      <c r="O425" s="12"/>
      <c r="P425" s="12"/>
      <c r="Q425" s="12"/>
      <c r="R425" s="12"/>
      <c r="S425" s="12" t="s">
        <v>1562</v>
      </c>
      <c r="T425" s="12"/>
      <c r="U425" s="12"/>
      <c r="V425" s="12"/>
      <c r="W425" s="12"/>
      <c r="X425" s="12" t="s">
        <v>1562</v>
      </c>
      <c r="Y425" s="12"/>
      <c r="Z425" s="12"/>
      <c r="AA425" s="12"/>
      <c r="AB425" s="12"/>
      <c r="AC425" s="12"/>
      <c r="AD425" s="17"/>
    </row>
    <row r="426" spans="2:30" s="3" customFormat="1" ht="108" x14ac:dyDescent="0.25">
      <c r="B426" s="10" t="s">
        <v>740</v>
      </c>
      <c r="C426" s="25" t="s">
        <v>741</v>
      </c>
      <c r="D426" s="16"/>
      <c r="E426" s="12" t="str">
        <f>VLOOKUP(B426,'[1]ART 2 A)'!A:E,5,FALSE)</f>
        <v>Ex.Excepto: Llaves de ajuste con longitud inferior o igual a 785 mm, para tubos.</v>
      </c>
      <c r="F426" s="12"/>
      <c r="G426" s="12" t="str">
        <f>VLOOKUP(B426,'[1]ART 3'!A:E,5,FALSE)</f>
        <v>Ex. Excepto: Llaves de ajuste con longitud inferior o igual a 785 mm, para tubos.</v>
      </c>
      <c r="H426" s="12" t="str">
        <f>VLOOKUP(B426,'[1]ART IV'!A:E,5,FALSE)</f>
        <v xml:space="preserve">Ex. </v>
      </c>
      <c r="I426" s="12"/>
      <c r="J426" s="12"/>
      <c r="K426" s="12"/>
      <c r="L426" s="12"/>
      <c r="M426" s="12"/>
      <c r="N426" s="12"/>
      <c r="O426" s="12"/>
      <c r="P426" s="12"/>
      <c r="Q426" s="12"/>
      <c r="R426" s="12"/>
      <c r="S426" s="12"/>
      <c r="T426" s="12"/>
      <c r="U426" s="12"/>
      <c r="V426" s="12"/>
      <c r="W426" s="12"/>
      <c r="X426" s="12" t="s">
        <v>1562</v>
      </c>
      <c r="Y426" s="12"/>
      <c r="Z426" s="12"/>
      <c r="AA426" s="12"/>
      <c r="AB426" s="12"/>
      <c r="AC426" s="12"/>
      <c r="AD426" s="17"/>
    </row>
    <row r="427" spans="2:30" s="3" customFormat="1" ht="13.5" x14ac:dyDescent="0.25">
      <c r="B427" s="10" t="s">
        <v>742</v>
      </c>
      <c r="C427" s="25" t="s">
        <v>743</v>
      </c>
      <c r="D427" s="16"/>
      <c r="E427" s="12"/>
      <c r="F427" s="12"/>
      <c r="G427" s="12"/>
      <c r="H427" s="12" t="str">
        <f>VLOOKUP(B427,'[1]ART IV'!A:E,5,FALSE)</f>
        <v xml:space="preserve">Ex. </v>
      </c>
      <c r="I427" s="12"/>
      <c r="J427" s="12"/>
      <c r="K427" s="12"/>
      <c r="L427" s="12"/>
      <c r="M427" s="12"/>
      <c r="N427" s="12"/>
      <c r="O427" s="12"/>
      <c r="P427" s="12"/>
      <c r="Q427" s="12"/>
      <c r="R427" s="12"/>
      <c r="S427" s="12"/>
      <c r="T427" s="12"/>
      <c r="U427" s="12"/>
      <c r="V427" s="12"/>
      <c r="W427" s="12"/>
      <c r="X427" s="12" t="s">
        <v>1562</v>
      </c>
      <c r="Y427" s="12"/>
      <c r="Z427" s="12"/>
      <c r="AA427" s="12"/>
      <c r="AB427" s="12"/>
      <c r="AC427" s="12"/>
      <c r="AD427" s="17"/>
    </row>
    <row r="428" spans="2:30" s="3" customFormat="1" ht="13.5" x14ac:dyDescent="0.25">
      <c r="B428" s="10" t="s">
        <v>744</v>
      </c>
      <c r="C428" s="25" t="s">
        <v>53</v>
      </c>
      <c r="D428" s="16"/>
      <c r="E428" s="12"/>
      <c r="F428" s="12"/>
      <c r="G428" s="12"/>
      <c r="H428" s="12" t="str">
        <f>VLOOKUP(B428,'[1]ART IV'!A:E,5,FALSE)</f>
        <v xml:space="preserve">Ex. </v>
      </c>
      <c r="I428" s="12"/>
      <c r="J428" s="12"/>
      <c r="K428" s="12"/>
      <c r="L428" s="12"/>
      <c r="M428" s="12"/>
      <c r="N428" s="12"/>
      <c r="O428" s="12"/>
      <c r="P428" s="12"/>
      <c r="Q428" s="12"/>
      <c r="R428" s="12"/>
      <c r="S428" s="12"/>
      <c r="T428" s="12"/>
      <c r="U428" s="12"/>
      <c r="V428" s="12"/>
      <c r="W428" s="12"/>
      <c r="X428" s="12" t="s">
        <v>1562</v>
      </c>
      <c r="Y428" s="12"/>
      <c r="Z428" s="12"/>
      <c r="AA428" s="12"/>
      <c r="AB428" s="12"/>
      <c r="AC428" s="12"/>
      <c r="AD428" s="17"/>
    </row>
    <row r="429" spans="2:30" s="3" customFormat="1" ht="162" x14ac:dyDescent="0.25">
      <c r="B429" s="10" t="s">
        <v>745</v>
      </c>
      <c r="C429" s="25" t="s">
        <v>746</v>
      </c>
      <c r="D429" s="16"/>
      <c r="E429" s="12" t="str">
        <f>VLOOKUP(B429,'[1]ART 2 A)'!A:E,5,FALSE)</f>
        <v>Ex.Excepto: Manerales para aterrajar, aun cuando se presenten con sus dados (terrajas); Berbiquíes.</v>
      </c>
      <c r="F429" s="12"/>
      <c r="G429" s="12" t="str">
        <f>VLOOKUP(B429,'[1]ART 3'!A:E,5,FALSE)</f>
        <v>Ex. Únicamente: Manerales para aterrajar, aun cuando se presenten con sus dados (terrajas).</v>
      </c>
      <c r="H429" s="12" t="str">
        <f>VLOOKUP(B429,'[1]ART IV'!A:E,5,FALSE)</f>
        <v>Ex. Únicamente: Manerales para aterrajar, aun cuando se presenten con sus dados (terrajas).</v>
      </c>
      <c r="I429" s="12"/>
      <c r="J429" s="12"/>
      <c r="K429" s="12"/>
      <c r="L429" s="12"/>
      <c r="M429" s="12"/>
      <c r="N429" s="12"/>
      <c r="O429" s="12"/>
      <c r="P429" s="12"/>
      <c r="Q429" s="12"/>
      <c r="R429" s="12"/>
      <c r="S429" s="12"/>
      <c r="T429" s="12"/>
      <c r="U429" s="12"/>
      <c r="V429" s="12"/>
      <c r="W429" s="12"/>
      <c r="X429" s="12" t="s">
        <v>1655</v>
      </c>
      <c r="Y429" s="12"/>
      <c r="Z429" s="12"/>
      <c r="AA429" s="12"/>
      <c r="AB429" s="12"/>
      <c r="AC429" s="12"/>
      <c r="AD429" s="17"/>
    </row>
    <row r="430" spans="2:30" s="3" customFormat="1" ht="13.5" x14ac:dyDescent="0.25">
      <c r="B430" s="10" t="s">
        <v>747</v>
      </c>
      <c r="C430" s="25" t="s">
        <v>748</v>
      </c>
      <c r="D430" s="16"/>
      <c r="E430" s="12" t="str">
        <f>VLOOKUP(B430,'[1]ART 2 A)'!A:E,5,FALSE)</f>
        <v>Ex.</v>
      </c>
      <c r="F430" s="12"/>
      <c r="G430" s="12" t="str">
        <f>VLOOKUP(B430,'[1]ART 3'!A:E,5,FALSE)</f>
        <v xml:space="preserve">Ex. </v>
      </c>
      <c r="H430" s="12" t="str">
        <f>VLOOKUP(B430,'[1]ART IV'!A:E,5,FALSE)</f>
        <v xml:space="preserve">Ex. </v>
      </c>
      <c r="I430" s="12"/>
      <c r="J430" s="12"/>
      <c r="K430" s="12"/>
      <c r="L430" s="12"/>
      <c r="M430" s="12"/>
      <c r="N430" s="12"/>
      <c r="O430" s="12"/>
      <c r="P430" s="12"/>
      <c r="Q430" s="12"/>
      <c r="R430" s="12"/>
      <c r="S430" s="12"/>
      <c r="T430" s="12"/>
      <c r="U430" s="12"/>
      <c r="V430" s="12"/>
      <c r="W430" s="12"/>
      <c r="X430" s="12" t="s">
        <v>1562</v>
      </c>
      <c r="Y430" s="12"/>
      <c r="Z430" s="12"/>
      <c r="AA430" s="12"/>
      <c r="AB430" s="12"/>
      <c r="AC430" s="12"/>
      <c r="AD430" s="17"/>
    </row>
    <row r="431" spans="2:30" s="3" customFormat="1" ht="13.5" x14ac:dyDescent="0.25">
      <c r="B431" s="10" t="s">
        <v>749</v>
      </c>
      <c r="C431" s="25" t="s">
        <v>53</v>
      </c>
      <c r="D431" s="16" t="str">
        <f>VLOOKUP(B431,'[1]ART 1'!A:E,5,FALSE)</f>
        <v>5</v>
      </c>
      <c r="E431" s="12" t="str">
        <f>VLOOKUP(B431,'[1]ART 2 A)'!A:E,5,FALSE)</f>
        <v>Ex.</v>
      </c>
      <c r="F431" s="12"/>
      <c r="G431" s="12" t="str">
        <f>VLOOKUP(B431,'[1]ART 3'!A:E,5,FALSE)</f>
        <v xml:space="preserve">Ex. </v>
      </c>
      <c r="H431" s="12" t="str">
        <f>VLOOKUP(B431,'[1]ART IV'!A:E,5,FALSE)</f>
        <v xml:space="preserve">Ex. </v>
      </c>
      <c r="I431" s="12"/>
      <c r="J431" s="12"/>
      <c r="K431" s="12" t="str">
        <f>VLOOKUP(B431,'[1]ART 7'!A:E,5,FALSE)</f>
        <v xml:space="preserve">5 </v>
      </c>
      <c r="L431" s="12"/>
      <c r="M431" s="12"/>
      <c r="N431" s="12"/>
      <c r="O431" s="12"/>
      <c r="P431" s="12"/>
      <c r="Q431" s="12"/>
      <c r="R431" s="12"/>
      <c r="S431" s="12"/>
      <c r="T431" s="12"/>
      <c r="U431" s="12"/>
      <c r="V431" s="12"/>
      <c r="W431" s="12"/>
      <c r="X431" s="12" t="s">
        <v>1562</v>
      </c>
      <c r="Y431" s="12"/>
      <c r="Z431" s="12"/>
      <c r="AA431" s="12"/>
      <c r="AB431" s="12"/>
      <c r="AC431" s="12"/>
      <c r="AD431" s="17"/>
    </row>
    <row r="432" spans="2:30" s="3" customFormat="1" ht="409.5" x14ac:dyDescent="0.25">
      <c r="B432" s="10" t="s">
        <v>750</v>
      </c>
      <c r="C432" s="25" t="s">
        <v>751</v>
      </c>
      <c r="D432" s="16" t="str">
        <f>VLOOKUP(B432,'[1]ART 1'!A:E,5,FALSE)</f>
        <v>5Excepto: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
      <c r="E432" s="12" t="str">
        <f>VLOOKUP(B432,'[1]ART 2 A)'!A:E,5,FALSE)</f>
        <v>Ex.Excepto: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cortavidrios.</v>
      </c>
      <c r="F432" s="12"/>
      <c r="G432" s="12" t="str">
        <f>VLOOKUP(B432,'[1]ART 3'!A:E,5,FALSE)</f>
        <v>Ex. Excepto: Paletas (cucharas) de albañil; espátulas; avellanadoras o expansores para tubos; aparatos o herramientas tipo pistola, impulsados por cartuchos detonantes, para incrustar o remachar taquetes, pernos o clavos; atadores o precintadores; Llanas; cinceles y cortafríos; alcuzas (aceiteras); cortavidrios.</v>
      </c>
      <c r="H432" s="12" t="str">
        <f>VLOOKUP(B432,'[1]ART IV'!A:E,5,FALSE)</f>
        <v>Ex. 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
      <c r="I432" s="12"/>
      <c r="J432" s="12"/>
      <c r="K432" s="12" t="str">
        <f>VLOOKUP(B432,'[1]ART 7'!A:E,5,FALSE)</f>
        <v>5 Excepto: Punzones; Paletas (cucharas) de albañil; espátulas; avellanadoras o expansores para tubos; aparatos o herramientas tipo pistola, impulsados por cartuchos detonantes, para incrustar o remachar taquetes, pernos o clavos; remachadoras; atadores o precintadores; llanas; cinceles y cortafríos; Alcuzas (aceiteras); Cortavidrios.</v>
      </c>
      <c r="L432" s="12"/>
      <c r="M432" s="12"/>
      <c r="N432" s="12" t="s">
        <v>1656</v>
      </c>
      <c r="O432" s="12"/>
      <c r="P432" s="12"/>
      <c r="Q432" s="12"/>
      <c r="R432" s="12"/>
      <c r="S432" s="12"/>
      <c r="T432" s="12"/>
      <c r="U432" s="12"/>
      <c r="V432" s="12"/>
      <c r="W432" s="12"/>
      <c r="X432" s="12" t="s">
        <v>1657</v>
      </c>
      <c r="Y432" s="12"/>
      <c r="Z432" s="12"/>
      <c r="AA432" s="12"/>
      <c r="AB432" s="12"/>
      <c r="AC432" s="12"/>
      <c r="AD432" s="17"/>
    </row>
    <row r="433" spans="2:30" s="3" customFormat="1" ht="27" x14ac:dyDescent="0.25">
      <c r="B433" s="10" t="s">
        <v>752</v>
      </c>
      <c r="C433" s="25" t="s">
        <v>753</v>
      </c>
      <c r="D433" s="16"/>
      <c r="E433" s="12"/>
      <c r="F433" s="12"/>
      <c r="G433" s="12"/>
      <c r="H433" s="12"/>
      <c r="I433" s="12"/>
      <c r="J433" s="12"/>
      <c r="K433" s="12"/>
      <c r="L433" s="12"/>
      <c r="M433" s="12"/>
      <c r="N433" s="12"/>
      <c r="O433" s="12"/>
      <c r="P433" s="12"/>
      <c r="Q433" s="12"/>
      <c r="R433" s="12"/>
      <c r="S433" s="12"/>
      <c r="T433" s="12"/>
      <c r="U433" s="12"/>
      <c r="V433" s="12"/>
      <c r="W433" s="12"/>
      <c r="X433" s="12" t="s">
        <v>1658</v>
      </c>
      <c r="Y433" s="12"/>
      <c r="Z433" s="12"/>
      <c r="AA433" s="12"/>
      <c r="AB433" s="12"/>
      <c r="AC433" s="12"/>
      <c r="AD433" s="17"/>
    </row>
    <row r="434" spans="2:30" s="3" customFormat="1" ht="54" x14ac:dyDescent="0.25">
      <c r="B434" s="10" t="s">
        <v>754</v>
      </c>
      <c r="C434" s="25" t="s">
        <v>755</v>
      </c>
      <c r="D434" s="16"/>
      <c r="E434" s="12" t="str">
        <f>VLOOKUP(B434,'[1]ART 2 A)'!A:E,5,FALSE)</f>
        <v>Ex.</v>
      </c>
      <c r="F434" s="12"/>
      <c r="G434" s="12" t="str">
        <f>VLOOKUP(B434,'[1]ART 3'!A:E,5,FALSE)</f>
        <v>Ex. Únicamente: Prensas de sujeción.</v>
      </c>
      <c r="H434" s="12" t="str">
        <f>VLOOKUP(B434,'[1]ART IV'!A:E,5,FALSE)</f>
        <v xml:space="preserve">Ex. </v>
      </c>
      <c r="I434" s="12"/>
      <c r="J434" s="12"/>
      <c r="K434" s="12" t="str">
        <f>VLOOKUP(B434,'[1]ART 7'!A:E,5,FALSE)</f>
        <v>5 Únicamente: Prensas de sujeción.</v>
      </c>
      <c r="L434" s="12"/>
      <c r="M434" s="12"/>
      <c r="N434" s="12"/>
      <c r="O434" s="12"/>
      <c r="P434" s="12"/>
      <c r="Q434" s="12"/>
      <c r="R434" s="12"/>
      <c r="S434" s="12"/>
      <c r="T434" s="12"/>
      <c r="U434" s="12"/>
      <c r="V434" s="12"/>
      <c r="W434" s="12"/>
      <c r="X434" s="12" t="s">
        <v>1562</v>
      </c>
      <c r="Y434" s="12"/>
      <c r="Z434" s="12"/>
      <c r="AA434" s="12"/>
      <c r="AB434" s="12"/>
      <c r="AC434" s="12"/>
      <c r="AD434" s="17"/>
    </row>
    <row r="435" spans="2:30" s="3" customFormat="1" ht="108" x14ac:dyDescent="0.25">
      <c r="B435" s="10" t="s">
        <v>756</v>
      </c>
      <c r="C435" s="25" t="s">
        <v>757</v>
      </c>
      <c r="D435" s="16"/>
      <c r="E435" s="12" t="str">
        <f>VLOOKUP(B435,'[1]ART 2 A)'!A:E,5,FALSE)</f>
        <v>Ex.Únicamente: Juegos de artículos de dos o más de las subpartidas de esta partida.</v>
      </c>
      <c r="F435" s="12"/>
      <c r="G435" s="12" t="str">
        <f>VLOOKUP(B435,'[1]ART 3'!A:E,5,FALSE)</f>
        <v>Ex. Únicamente: Yunques y fraguas portátiles.</v>
      </c>
      <c r="H435" s="12"/>
      <c r="I435" s="12"/>
      <c r="J435" s="12"/>
      <c r="K435" s="12"/>
      <c r="L435" s="12"/>
      <c r="M435" s="12"/>
      <c r="N435" s="12"/>
      <c r="O435" s="12"/>
      <c r="P435" s="12"/>
      <c r="Q435" s="12"/>
      <c r="R435" s="12"/>
      <c r="S435" s="12"/>
      <c r="T435" s="12"/>
      <c r="U435" s="12"/>
      <c r="V435" s="12"/>
      <c r="W435" s="12"/>
      <c r="X435" s="12" t="s">
        <v>1659</v>
      </c>
      <c r="Y435" s="12"/>
      <c r="Z435" s="12"/>
      <c r="AA435" s="12"/>
      <c r="AB435" s="12"/>
      <c r="AC435" s="12"/>
      <c r="AD435" s="17"/>
    </row>
    <row r="436" spans="2:30" s="3" customFormat="1" ht="54" x14ac:dyDescent="0.25">
      <c r="B436" s="10" t="s">
        <v>758</v>
      </c>
      <c r="C436" s="25" t="s">
        <v>759</v>
      </c>
      <c r="D436" s="16"/>
      <c r="E436" s="12"/>
      <c r="F436" s="12"/>
      <c r="G436" s="12" t="str">
        <f>VLOOKUP(B436,'[1]ART 3'!A:E,5,FALSE)</f>
        <v xml:space="preserve">Ex. </v>
      </c>
      <c r="H436" s="12" t="str">
        <f>VLOOKUP(B436,'[1]ART IV'!A:E,5,FALSE)</f>
        <v xml:space="preserve">Ex. </v>
      </c>
      <c r="I436" s="12"/>
      <c r="J436" s="12"/>
      <c r="K436" s="12"/>
      <c r="L436" s="12"/>
      <c r="M436" s="12"/>
      <c r="N436" s="12"/>
      <c r="O436" s="12"/>
      <c r="P436" s="12"/>
      <c r="Q436" s="12"/>
      <c r="R436" s="12"/>
      <c r="S436" s="12" t="s">
        <v>1562</v>
      </c>
      <c r="T436" s="12"/>
      <c r="U436" s="12"/>
      <c r="V436" s="12"/>
      <c r="W436" s="12"/>
      <c r="X436" s="12" t="s">
        <v>1562</v>
      </c>
      <c r="Y436" s="12"/>
      <c r="Z436" s="12"/>
      <c r="AA436" s="12"/>
      <c r="AB436" s="12"/>
      <c r="AC436" s="12"/>
      <c r="AD436" s="17"/>
    </row>
    <row r="437" spans="2:30" s="3" customFormat="1" ht="13.5" x14ac:dyDescent="0.25">
      <c r="B437" s="10" t="s">
        <v>760</v>
      </c>
      <c r="C437" s="25" t="s">
        <v>53</v>
      </c>
      <c r="D437" s="16"/>
      <c r="E437" s="12" t="str">
        <f>VLOOKUP(B437,'[1]ART 2 A)'!A:E,5,FALSE)</f>
        <v>Ex.</v>
      </c>
      <c r="F437" s="12"/>
      <c r="G437" s="12" t="str">
        <f>VLOOKUP(B437,'[1]ART 3'!A:E,5,FALSE)</f>
        <v xml:space="preserve">Ex. </v>
      </c>
      <c r="H437" s="12"/>
      <c r="I437" s="12"/>
      <c r="J437" s="12"/>
      <c r="K437" s="12"/>
      <c r="L437" s="12"/>
      <c r="M437" s="12"/>
      <c r="N437" s="12"/>
      <c r="O437" s="12"/>
      <c r="P437" s="12"/>
      <c r="Q437" s="12"/>
      <c r="R437" s="12"/>
      <c r="S437" s="12"/>
      <c r="T437" s="12"/>
      <c r="U437" s="12"/>
      <c r="V437" s="12"/>
      <c r="W437" s="12"/>
      <c r="X437" s="12" t="s">
        <v>1562</v>
      </c>
      <c r="Y437" s="12"/>
      <c r="Z437" s="12"/>
      <c r="AA437" s="12"/>
      <c r="AB437" s="12"/>
      <c r="AC437" s="12"/>
      <c r="AD437" s="17"/>
    </row>
    <row r="438" spans="2:30" s="3" customFormat="1" ht="13.5" x14ac:dyDescent="0.25">
      <c r="B438" s="10" t="s">
        <v>761</v>
      </c>
      <c r="C438" s="25" t="s">
        <v>53</v>
      </c>
      <c r="D438" s="16"/>
      <c r="E438" s="12"/>
      <c r="F438" s="12"/>
      <c r="G438" s="12" t="str">
        <f>VLOOKUP(B438,'[1]ART 3'!A:E,5,FALSE)</f>
        <v xml:space="preserve">Ex. </v>
      </c>
      <c r="H438" s="12" t="str">
        <f>VLOOKUP(B438,'[1]ART IV'!A:E,5,FALSE)</f>
        <v xml:space="preserve">Ex. </v>
      </c>
      <c r="I438" s="12"/>
      <c r="J438" s="12"/>
      <c r="K438" s="12"/>
      <c r="L438" s="12"/>
      <c r="M438" s="12"/>
      <c r="N438" s="12"/>
      <c r="O438" s="12"/>
      <c r="P438" s="12"/>
      <c r="Q438" s="12"/>
      <c r="R438" s="12"/>
      <c r="S438" s="12"/>
      <c r="T438" s="12"/>
      <c r="U438" s="12"/>
      <c r="V438" s="12"/>
      <c r="W438" s="12"/>
      <c r="X438" s="12" t="s">
        <v>1562</v>
      </c>
      <c r="Y438" s="12"/>
      <c r="Z438" s="12"/>
      <c r="AA438" s="12"/>
      <c r="AB438" s="12"/>
      <c r="AC438" s="12"/>
      <c r="AD438" s="17"/>
    </row>
    <row r="439" spans="2:30" s="3" customFormat="1" ht="27" x14ac:dyDescent="0.25">
      <c r="B439" s="10" t="s">
        <v>762</v>
      </c>
      <c r="C439" s="25" t="s">
        <v>763</v>
      </c>
      <c r="D439" s="16"/>
      <c r="E439" s="12"/>
      <c r="F439" s="12"/>
      <c r="G439" s="12"/>
      <c r="H439" s="12"/>
      <c r="I439" s="12" t="str">
        <f>VLOOKUP(B439,'[1]ART 5'!A:E,5,FALSE)</f>
        <v xml:space="preserve">5 </v>
      </c>
      <c r="J439" s="12"/>
      <c r="K439" s="12"/>
      <c r="L439" s="12"/>
      <c r="M439" s="12"/>
      <c r="N439" s="12"/>
      <c r="O439" s="12"/>
      <c r="P439" s="12"/>
      <c r="Q439" s="12"/>
      <c r="R439" s="12"/>
      <c r="S439" s="12"/>
      <c r="T439" s="12"/>
      <c r="U439" s="12"/>
      <c r="V439" s="12"/>
      <c r="W439" s="12"/>
      <c r="X439" s="12" t="s">
        <v>1562</v>
      </c>
      <c r="Y439" s="12"/>
      <c r="Z439" s="12"/>
      <c r="AA439" s="12"/>
      <c r="AB439" s="12"/>
      <c r="AC439" s="12"/>
      <c r="AD439" s="17"/>
    </row>
    <row r="440" spans="2:30" s="3" customFormat="1" ht="13.5" x14ac:dyDescent="0.25">
      <c r="B440" s="10" t="s">
        <v>764</v>
      </c>
      <c r="C440" s="25" t="s">
        <v>765</v>
      </c>
      <c r="D440" s="16"/>
      <c r="E440" s="12"/>
      <c r="F440" s="12"/>
      <c r="G440" s="12" t="str">
        <f>VLOOKUP(B440,'[1]ART 3'!A:E,5,FALSE)</f>
        <v xml:space="preserve">Ex. </v>
      </c>
      <c r="H440" s="12" t="str">
        <f>VLOOKUP(B440,'[1]ART IV'!A:E,5,FALSE)</f>
        <v xml:space="preserve">Ex. </v>
      </c>
      <c r="I440" s="12"/>
      <c r="J440" s="12"/>
      <c r="K440" s="12"/>
      <c r="L440" s="12"/>
      <c r="M440" s="12"/>
      <c r="N440" s="12"/>
      <c r="O440" s="12"/>
      <c r="P440" s="12"/>
      <c r="Q440" s="12"/>
      <c r="R440" s="12"/>
      <c r="S440" s="12"/>
      <c r="T440" s="12"/>
      <c r="U440" s="12"/>
      <c r="V440" s="12"/>
      <c r="W440" s="12"/>
      <c r="X440" s="12" t="s">
        <v>1562</v>
      </c>
      <c r="Y440" s="12"/>
      <c r="Z440" s="12"/>
      <c r="AA440" s="12"/>
      <c r="AB440" s="12"/>
      <c r="AC440" s="12"/>
      <c r="AD440" s="17"/>
    </row>
    <row r="441" spans="2:30" s="3" customFormat="1" ht="13.5" x14ac:dyDescent="0.25">
      <c r="B441" s="10" t="s">
        <v>766</v>
      </c>
      <c r="C441" s="25" t="s">
        <v>157</v>
      </c>
      <c r="D441" s="16"/>
      <c r="E441" s="12"/>
      <c r="F441" s="12"/>
      <c r="G441" s="12"/>
      <c r="H441" s="12" t="str">
        <f>VLOOKUP(B441,'[1]ART IV'!A:E,5,FALSE)</f>
        <v xml:space="preserve">Ex. </v>
      </c>
      <c r="I441" s="12"/>
      <c r="J441" s="12"/>
      <c r="K441" s="12"/>
      <c r="L441" s="12"/>
      <c r="M441" s="12"/>
      <c r="N441" s="12"/>
      <c r="O441" s="12"/>
      <c r="P441" s="12"/>
      <c r="Q441" s="12"/>
      <c r="R441" s="12"/>
      <c r="S441" s="12"/>
      <c r="T441" s="12"/>
      <c r="U441" s="12"/>
      <c r="V441" s="12"/>
      <c r="W441" s="12"/>
      <c r="X441" s="12"/>
      <c r="Y441" s="12"/>
      <c r="Z441" s="12"/>
      <c r="AA441" s="12"/>
      <c r="AB441" s="12"/>
      <c r="AC441" s="12"/>
      <c r="AD441" s="17"/>
    </row>
    <row r="442" spans="2:30" s="3" customFormat="1" ht="13.5" x14ac:dyDescent="0.25">
      <c r="B442" s="10" t="s">
        <v>767</v>
      </c>
      <c r="C442" s="25" t="s">
        <v>768</v>
      </c>
      <c r="D442" s="16"/>
      <c r="E442" s="12" t="str">
        <f>VLOOKUP(B442,'[1]ART 2 A)'!A:E,5,FALSE)</f>
        <v>Ex.</v>
      </c>
      <c r="F442" s="12"/>
      <c r="G442" s="12"/>
      <c r="H442" s="12"/>
      <c r="I442" s="12" t="str">
        <f>VLOOKUP(B442,'[1]ART 5'!A:E,5,FALSE)</f>
        <v xml:space="preserve">5 </v>
      </c>
      <c r="J442" s="12"/>
      <c r="K442" s="12"/>
      <c r="L442" s="12"/>
      <c r="M442" s="12"/>
      <c r="N442" s="12"/>
      <c r="O442" s="12"/>
      <c r="P442" s="12"/>
      <c r="Q442" s="12"/>
      <c r="R442" s="12"/>
      <c r="S442" s="12"/>
      <c r="T442" s="12"/>
      <c r="U442" s="12"/>
      <c r="V442" s="12"/>
      <c r="W442" s="12"/>
      <c r="X442" s="12"/>
      <c r="Y442" s="12"/>
      <c r="Z442" s="12"/>
      <c r="AA442" s="12"/>
      <c r="AB442" s="12"/>
      <c r="AC442" s="12"/>
      <c r="AD442" s="17"/>
    </row>
    <row r="443" spans="2:30" s="3" customFormat="1" ht="27" x14ac:dyDescent="0.25">
      <c r="B443" s="10" t="s">
        <v>769</v>
      </c>
      <c r="C443" s="25" t="s">
        <v>770</v>
      </c>
      <c r="D443" s="16"/>
      <c r="E443" s="12"/>
      <c r="F443" s="12"/>
      <c r="G443" s="12"/>
      <c r="H443" s="12" t="str">
        <f>VLOOKUP(B443,'[1]ART IV'!A:E,5,FALSE)</f>
        <v xml:space="preserve">Ex. Excepto: Sacapuntas. </v>
      </c>
      <c r="I443" s="12"/>
      <c r="J443" s="12"/>
      <c r="K443" s="12"/>
      <c r="L443" s="12"/>
      <c r="M443" s="12"/>
      <c r="N443" s="12" t="s">
        <v>1660</v>
      </c>
      <c r="O443" s="12"/>
      <c r="P443" s="12"/>
      <c r="Q443" s="12"/>
      <c r="R443" s="12"/>
      <c r="S443" s="12"/>
      <c r="T443" s="12"/>
      <c r="U443" s="12"/>
      <c r="V443" s="12"/>
      <c r="W443" s="12"/>
      <c r="X443" s="12"/>
      <c r="Y443" s="12"/>
      <c r="Z443" s="12"/>
      <c r="AA443" s="12"/>
      <c r="AB443" s="12"/>
      <c r="AC443" s="12"/>
      <c r="AD443" s="17"/>
    </row>
    <row r="444" spans="2:30" s="3" customFormat="1" ht="40.5" x14ac:dyDescent="0.25">
      <c r="B444" s="21" t="s">
        <v>771</v>
      </c>
      <c r="C444" s="25" t="s">
        <v>772</v>
      </c>
      <c r="D444" s="16"/>
      <c r="E444" s="12"/>
      <c r="F444" s="12"/>
      <c r="G444" s="12" t="str">
        <f>VLOOKUP(B444,'[1]ART 3'!A:E,5,FALSE)</f>
        <v xml:space="preserve">Ex. </v>
      </c>
      <c r="H444" s="12" t="str">
        <f>VLOOKUP(B444,'[1]ART IV'!A:E,5,FALSE)</f>
        <v xml:space="preserve">Ex. </v>
      </c>
      <c r="I444" s="12"/>
      <c r="J444" s="12"/>
      <c r="K444" s="12"/>
      <c r="L444" s="12"/>
      <c r="M444" s="12"/>
      <c r="N444" s="12" t="s">
        <v>1570</v>
      </c>
      <c r="O444" s="12"/>
      <c r="P444" s="12"/>
      <c r="Q444" s="12"/>
      <c r="R444" s="12"/>
      <c r="S444" s="12"/>
      <c r="T444" s="12"/>
      <c r="U444" s="12"/>
      <c r="V444" s="12"/>
      <c r="W444" s="12"/>
      <c r="X444" s="12"/>
      <c r="Y444" s="12"/>
      <c r="Z444" s="12"/>
      <c r="AA444" s="12"/>
      <c r="AB444" s="12"/>
      <c r="AC444" s="12"/>
      <c r="AD444" s="17"/>
    </row>
    <row r="445" spans="2:30" s="3" customFormat="1" ht="13.5" x14ac:dyDescent="0.25">
      <c r="B445" s="21" t="s">
        <v>773</v>
      </c>
      <c r="C445" s="25" t="s">
        <v>774</v>
      </c>
      <c r="D445" s="16"/>
      <c r="E445" s="12"/>
      <c r="F445" s="12"/>
      <c r="G445" s="12"/>
      <c r="H445" s="12"/>
      <c r="I445" s="12"/>
      <c r="J445" s="12"/>
      <c r="K445" s="12"/>
      <c r="L445" s="12"/>
      <c r="M445" s="12"/>
      <c r="N445" s="12"/>
      <c r="O445" s="12"/>
      <c r="P445" s="12"/>
      <c r="Q445" s="12"/>
      <c r="R445" s="12"/>
      <c r="S445" s="12"/>
      <c r="T445" s="12"/>
      <c r="U445" s="12"/>
      <c r="V445" s="12"/>
      <c r="W445" s="12"/>
      <c r="X445" s="12" t="s">
        <v>1562</v>
      </c>
      <c r="Y445" s="12"/>
      <c r="Z445" s="12"/>
      <c r="AA445" s="12"/>
      <c r="AB445" s="12"/>
      <c r="AC445" s="12"/>
      <c r="AD445" s="17"/>
    </row>
    <row r="446" spans="2:30" s="3" customFormat="1" ht="27" x14ac:dyDescent="0.25">
      <c r="B446" s="21" t="s">
        <v>775</v>
      </c>
      <c r="C446" s="25" t="s">
        <v>776</v>
      </c>
      <c r="D446" s="16"/>
      <c r="E446" s="12" t="str">
        <f>VLOOKUP(B446,'[1]ART 2 A)'!A:E,5,FALSE)</f>
        <v>Ex.</v>
      </c>
      <c r="F446" s="12"/>
      <c r="G446" s="12" t="str">
        <f>VLOOKUP(B446,'[1]ART 3'!A:E,5,FALSE)</f>
        <v xml:space="preserve">Ex. </v>
      </c>
      <c r="H446" s="12"/>
      <c r="I446" s="12"/>
      <c r="J446" s="12"/>
      <c r="K446" s="12"/>
      <c r="L446" s="12"/>
      <c r="M446" s="12"/>
      <c r="N446" s="12"/>
      <c r="O446" s="12"/>
      <c r="P446" s="12"/>
      <c r="Q446" s="12"/>
      <c r="R446" s="12"/>
      <c r="S446" s="12"/>
      <c r="T446" s="12"/>
      <c r="U446" s="12"/>
      <c r="V446" s="12"/>
      <c r="W446" s="12"/>
      <c r="X446" s="12"/>
      <c r="Y446" s="12"/>
      <c r="Z446" s="12"/>
      <c r="AA446" s="12"/>
      <c r="AB446" s="12"/>
      <c r="AC446" s="12"/>
      <c r="AD446" s="17"/>
    </row>
    <row r="447" spans="2:30" s="3" customFormat="1" ht="40.5" x14ac:dyDescent="0.25">
      <c r="B447" s="21" t="s">
        <v>777</v>
      </c>
      <c r="C447" s="25" t="s">
        <v>778</v>
      </c>
      <c r="D447" s="16"/>
      <c r="E447" s="12" t="str">
        <f>VLOOKUP(B447,'[1]ART 2 A)'!A:E,5,FALSE)</f>
        <v>Ex.</v>
      </c>
      <c r="F447" s="12"/>
      <c r="G447" s="12"/>
      <c r="H447" s="12"/>
      <c r="I447" s="12" t="str">
        <f>VLOOKUP(B447,'[1]ART 5'!A:E,5,FALSE)</f>
        <v xml:space="preserve">5 </v>
      </c>
      <c r="J447" s="12"/>
      <c r="K447" s="12" t="str">
        <f>VLOOKUP(B447,'[1]ART 7'!A:E,5,FALSE)</f>
        <v xml:space="preserve">Ex. </v>
      </c>
      <c r="L447" s="12"/>
      <c r="M447" s="12"/>
      <c r="N447" s="12"/>
      <c r="O447" s="12"/>
      <c r="P447" s="12"/>
      <c r="Q447" s="12"/>
      <c r="R447" s="12"/>
      <c r="S447" s="12" t="s">
        <v>1570</v>
      </c>
      <c r="T447" s="12"/>
      <c r="U447" s="12"/>
      <c r="V447" s="12" t="s">
        <v>1570</v>
      </c>
      <c r="W447" s="12"/>
      <c r="X447" s="12"/>
      <c r="Y447" s="12"/>
      <c r="Z447" s="12"/>
      <c r="AA447" s="12"/>
      <c r="AB447" s="12"/>
      <c r="AC447" s="12"/>
      <c r="AD447" s="17"/>
    </row>
    <row r="448" spans="2:30" s="3" customFormat="1" ht="40.5" x14ac:dyDescent="0.25">
      <c r="B448" s="21" t="s">
        <v>779</v>
      </c>
      <c r="C448" s="25" t="s">
        <v>780</v>
      </c>
      <c r="D448" s="16"/>
      <c r="E448" s="12" t="str">
        <f>VLOOKUP(B448,'[1]ART 2 A)'!A:E,5,FALSE)</f>
        <v>Ex.</v>
      </c>
      <c r="F448" s="12"/>
      <c r="G448" s="12"/>
      <c r="H448" s="12"/>
      <c r="I448" s="12"/>
      <c r="J448" s="12"/>
      <c r="K448" s="12"/>
      <c r="L448" s="12" t="str">
        <f>VLOOKUP(B448,'[1]ART 8'!A:E,5,FALSE)</f>
        <v xml:space="preserve">5 </v>
      </c>
      <c r="M448" s="12"/>
      <c r="N448" s="12"/>
      <c r="O448" s="12"/>
      <c r="P448" s="12"/>
      <c r="Q448" s="12"/>
      <c r="R448" s="12"/>
      <c r="S448" s="12"/>
      <c r="T448" s="12"/>
      <c r="U448" s="12"/>
      <c r="V448" s="12"/>
      <c r="W448" s="12"/>
      <c r="X448" s="12"/>
      <c r="Y448" s="12" t="s">
        <v>1570</v>
      </c>
      <c r="Z448" s="12"/>
      <c r="AA448" s="12"/>
      <c r="AB448" s="12"/>
      <c r="AC448" s="12"/>
      <c r="AD448" s="17"/>
    </row>
    <row r="449" spans="2:30" s="3" customFormat="1" ht="13.5" x14ac:dyDescent="0.25">
      <c r="B449" s="21" t="s">
        <v>781</v>
      </c>
      <c r="C449" s="25" t="s">
        <v>782</v>
      </c>
      <c r="D449" s="16" t="str">
        <f>VLOOKUP(B449,'[1]ART 1'!A:E,5,FALSE)</f>
        <v>5</v>
      </c>
      <c r="E449" s="12" t="str">
        <f>VLOOKUP(B449,'[1]ART 2 A)'!A:E,5,FALSE)</f>
        <v>Ex.</v>
      </c>
      <c r="F449" s="12"/>
      <c r="G449" s="12" t="str">
        <f>VLOOKUP(B449,'[1]ART 3'!A:E,5,FALSE)</f>
        <v xml:space="preserve">Ex. </v>
      </c>
      <c r="H449" s="12" t="str">
        <f>VLOOKUP(B449,'[1]ART IV'!A:E,5,FALSE)</f>
        <v xml:space="preserve">Ex. </v>
      </c>
      <c r="I449" s="12"/>
      <c r="J449" s="12"/>
      <c r="K449" s="12" t="str">
        <f>VLOOKUP(B449,'[1]ART 7'!A:E,5,FALSE)</f>
        <v xml:space="preserve">5 </v>
      </c>
      <c r="L449" s="12"/>
      <c r="M449" s="12"/>
      <c r="N449" s="12"/>
      <c r="O449" s="12"/>
      <c r="P449" s="12"/>
      <c r="Q449" s="12"/>
      <c r="R449" s="12" t="s">
        <v>1570</v>
      </c>
      <c r="S449" s="12" t="s">
        <v>1562</v>
      </c>
      <c r="T449" s="12" t="s">
        <v>1562</v>
      </c>
      <c r="U449" s="12"/>
      <c r="V449" s="12" t="s">
        <v>1570</v>
      </c>
      <c r="W449" s="12"/>
      <c r="X449" s="12"/>
      <c r="Y449" s="12"/>
      <c r="Z449" s="12"/>
      <c r="AA449" s="12"/>
      <c r="AB449" s="12"/>
      <c r="AC449" s="12"/>
      <c r="AD449" s="17"/>
    </row>
    <row r="450" spans="2:30" s="3" customFormat="1" ht="27" x14ac:dyDescent="0.25">
      <c r="B450" s="21" t="s">
        <v>783</v>
      </c>
      <c r="C450" s="25" t="s">
        <v>784</v>
      </c>
      <c r="D450" s="16"/>
      <c r="E450" s="12" t="str">
        <f>VLOOKUP(B450,'[1]ART 2 A)'!A:E,5,FALSE)</f>
        <v>Ex.</v>
      </c>
      <c r="F450" s="12"/>
      <c r="G450" s="12" t="str">
        <f>VLOOKUP(B450,'[1]ART 3'!A:E,5,FALSE)</f>
        <v xml:space="preserve">Ex. </v>
      </c>
      <c r="H450" s="12"/>
      <c r="I450" s="12"/>
      <c r="J450" s="12"/>
      <c r="K450" s="12"/>
      <c r="L450" s="12" t="str">
        <f>VLOOKUP(B450,'[1]ART 8'!A:E,5,FALSE)</f>
        <v>Ex. Excepto: Para muebles.</v>
      </c>
      <c r="M450" s="12"/>
      <c r="N450" s="12" t="s">
        <v>1661</v>
      </c>
      <c r="O450" s="12"/>
      <c r="P450" s="12"/>
      <c r="Q450" s="12"/>
      <c r="R450" s="12"/>
      <c r="S450" s="12"/>
      <c r="T450" s="12"/>
      <c r="U450" s="12"/>
      <c r="V450" s="12"/>
      <c r="W450" s="12"/>
      <c r="X450" s="12" t="s">
        <v>1661</v>
      </c>
      <c r="Y450" s="12"/>
      <c r="Z450" s="12"/>
      <c r="AA450" s="12"/>
      <c r="AB450" s="12"/>
      <c r="AC450" s="12"/>
      <c r="AD450" s="17"/>
    </row>
    <row r="451" spans="2:30" s="3" customFormat="1" ht="40.5" x14ac:dyDescent="0.25">
      <c r="B451" s="21" t="s">
        <v>785</v>
      </c>
      <c r="C451" s="25" t="s">
        <v>786</v>
      </c>
      <c r="D451" s="16"/>
      <c r="E451" s="12"/>
      <c r="F451" s="12"/>
      <c r="G451" s="12"/>
      <c r="H451" s="12"/>
      <c r="I451" s="12"/>
      <c r="J451" s="12"/>
      <c r="K451" s="12"/>
      <c r="L451" s="12"/>
      <c r="M451" s="12" t="str">
        <f>VLOOKUP(B451,'[1]ART 9'!A:E,5,FALSE)</f>
        <v xml:space="preserve">Ex. </v>
      </c>
      <c r="N451" s="12"/>
      <c r="O451" s="12"/>
      <c r="P451" s="12"/>
      <c r="Q451" s="12"/>
      <c r="R451" s="12"/>
      <c r="S451" s="12"/>
      <c r="T451" s="12"/>
      <c r="U451" s="12"/>
      <c r="V451" s="12"/>
      <c r="W451" s="12"/>
      <c r="X451" s="12" t="s">
        <v>1562</v>
      </c>
      <c r="Y451" s="12"/>
      <c r="Z451" s="12"/>
      <c r="AA451" s="12"/>
      <c r="AB451" s="12"/>
      <c r="AC451" s="12"/>
      <c r="AD451" s="17"/>
    </row>
    <row r="452" spans="2:30" s="3" customFormat="1" ht="229.5" x14ac:dyDescent="0.25">
      <c r="B452" s="21" t="s">
        <v>787</v>
      </c>
      <c r="C452" s="25" t="s">
        <v>788</v>
      </c>
      <c r="D452" s="16"/>
      <c r="E452" s="12"/>
      <c r="F452" s="12"/>
      <c r="G452" s="12"/>
      <c r="H452" s="12"/>
      <c r="I452" s="12"/>
      <c r="J452" s="12"/>
      <c r="K452" s="12"/>
      <c r="L452" s="12"/>
      <c r="M452" s="12"/>
      <c r="N452" s="12" t="s">
        <v>1662</v>
      </c>
      <c r="O452" s="12"/>
      <c r="P452" s="12" t="s">
        <v>1663</v>
      </c>
      <c r="Q452" s="12"/>
      <c r="R452" s="12"/>
      <c r="S452" s="12"/>
      <c r="T452" s="12"/>
      <c r="U452" s="12"/>
      <c r="V452" s="12" t="s">
        <v>1663</v>
      </c>
      <c r="W452" s="12"/>
      <c r="X452" s="12"/>
      <c r="Y452" s="12"/>
      <c r="Z452" s="12"/>
      <c r="AA452" s="12"/>
      <c r="AB452" s="12"/>
      <c r="AC452" s="12"/>
      <c r="AD452" s="17"/>
    </row>
    <row r="453" spans="2:30" s="3" customFormat="1" ht="148.5" x14ac:dyDescent="0.25">
      <c r="B453" s="10" t="s">
        <v>789</v>
      </c>
      <c r="C453" s="25" t="s">
        <v>790</v>
      </c>
      <c r="D453" s="16"/>
      <c r="E453" s="12" t="str">
        <f>VLOOKUP(B453,'[1]ART 2 A)'!A:E,5,FALSE)</f>
        <v>Ex.Excepto: Reconocibles como diseñadas exclusivamente para asientos, incluso los transformables en camas.</v>
      </c>
      <c r="F453" s="12"/>
      <c r="G453" s="12" t="str">
        <f>VLOOKUP(B453,'[1]ART 3'!A:E,5,FALSE)</f>
        <v>Ex. Excepto: Reconocibles como diseñadas exclusivamente para asientos, incluso los transformables en camas.</v>
      </c>
      <c r="H453" s="12"/>
      <c r="I453" s="12"/>
      <c r="J453" s="12"/>
      <c r="K453" s="12"/>
      <c r="L453" s="12"/>
      <c r="M453" s="12"/>
      <c r="N453" s="12"/>
      <c r="O453" s="12"/>
      <c r="P453" s="12"/>
      <c r="Q453" s="12"/>
      <c r="R453" s="12"/>
      <c r="S453" s="12"/>
      <c r="T453" s="12"/>
      <c r="U453" s="12"/>
      <c r="V453" s="12"/>
      <c r="W453" s="12"/>
      <c r="X453" s="12" t="s">
        <v>1664</v>
      </c>
      <c r="Y453" s="12"/>
      <c r="Z453" s="12"/>
      <c r="AA453" s="12"/>
      <c r="AB453" s="12"/>
      <c r="AC453" s="12"/>
      <c r="AD453" s="17"/>
    </row>
    <row r="454" spans="2:30" s="3" customFormat="1" ht="13.5" x14ac:dyDescent="0.25">
      <c r="B454" s="21" t="s">
        <v>791</v>
      </c>
      <c r="C454" s="25" t="s">
        <v>792</v>
      </c>
      <c r="D454" s="16" t="str">
        <f>VLOOKUP(B454,'[1]ART 1'!A:E,5,FALSE)</f>
        <v>5</v>
      </c>
      <c r="E454" s="12" t="str">
        <f>VLOOKUP(B454,'[1]ART 2 A)'!A:E,5,FALSE)</f>
        <v>Ex.</v>
      </c>
      <c r="F454" s="12"/>
      <c r="G454" s="12" t="str">
        <f>VLOOKUP(B454,'[1]ART 3'!A:E,5,FALSE)</f>
        <v xml:space="preserve">Ex. </v>
      </c>
      <c r="H454" s="12"/>
      <c r="I454" s="12"/>
      <c r="J454" s="12"/>
      <c r="K454" s="12" t="str">
        <f>VLOOKUP(B454,'[1]ART 7'!A:E,5,FALSE)</f>
        <v xml:space="preserve">5 </v>
      </c>
      <c r="L454" s="12"/>
      <c r="M454" s="12"/>
      <c r="N454" s="12" t="s">
        <v>1665</v>
      </c>
      <c r="O454" s="12"/>
      <c r="P454" s="12" t="s">
        <v>1562</v>
      </c>
      <c r="Q454" s="12" t="s">
        <v>1570</v>
      </c>
      <c r="R454" s="12"/>
      <c r="S454" s="12" t="s">
        <v>1562</v>
      </c>
      <c r="T454" s="12"/>
      <c r="U454" s="12"/>
      <c r="V454" s="12"/>
      <c r="W454" s="12"/>
      <c r="X454" s="12" t="s">
        <v>1562</v>
      </c>
      <c r="Y454" s="12"/>
      <c r="Z454" s="12"/>
      <c r="AA454" s="12"/>
      <c r="AB454" s="12"/>
      <c r="AC454" s="12"/>
      <c r="AD454" s="17"/>
    </row>
    <row r="455" spans="2:30" s="3" customFormat="1" ht="27" x14ac:dyDescent="0.25">
      <c r="B455" s="21" t="s">
        <v>793</v>
      </c>
      <c r="C455" s="25" t="s">
        <v>794</v>
      </c>
      <c r="D455" s="16"/>
      <c r="E455" s="12"/>
      <c r="F455" s="12"/>
      <c r="G455" s="12"/>
      <c r="H455" s="12"/>
      <c r="I455" s="12"/>
      <c r="J455" s="12"/>
      <c r="K455" s="12"/>
      <c r="L455" s="12"/>
      <c r="M455" s="12"/>
      <c r="N455" s="12"/>
      <c r="O455" s="12"/>
      <c r="P455" s="12"/>
      <c r="Q455" s="12"/>
      <c r="R455" s="12"/>
      <c r="S455" s="12"/>
      <c r="T455" s="12"/>
      <c r="U455" s="12"/>
      <c r="V455" s="12"/>
      <c r="W455" s="12"/>
      <c r="X455" s="12" t="s">
        <v>1562</v>
      </c>
      <c r="Y455" s="12"/>
      <c r="Z455" s="12"/>
      <c r="AA455" s="12"/>
      <c r="AB455" s="12"/>
      <c r="AC455" s="12"/>
      <c r="AD455" s="17"/>
    </row>
    <row r="456" spans="2:30" s="3" customFormat="1" ht="13.5" x14ac:dyDescent="0.25">
      <c r="B456" s="21" t="s">
        <v>795</v>
      </c>
      <c r="C456" s="25" t="s">
        <v>796</v>
      </c>
      <c r="D456" s="16"/>
      <c r="E456" s="12" t="str">
        <f>VLOOKUP(B456,'[1]ART 2 A)'!A:E,5,FALSE)</f>
        <v>Ex.</v>
      </c>
      <c r="F456" s="12"/>
      <c r="G456" s="12"/>
      <c r="H456" s="12"/>
      <c r="I456" s="12"/>
      <c r="J456" s="12"/>
      <c r="K456" s="12" t="str">
        <f>VLOOKUP(B456,'[1]ART 7'!A:E,5,FALSE)</f>
        <v xml:space="preserve">5 </v>
      </c>
      <c r="L456" s="12"/>
      <c r="M456" s="12"/>
      <c r="N456" s="12"/>
      <c r="O456" s="12"/>
      <c r="P456" s="12"/>
      <c r="Q456" s="12"/>
      <c r="R456" s="12"/>
      <c r="S456" s="12"/>
      <c r="T456" s="12"/>
      <c r="U456" s="12"/>
      <c r="V456" s="12"/>
      <c r="W456" s="12"/>
      <c r="X456" s="12" t="s">
        <v>1562</v>
      </c>
      <c r="Y456" s="12"/>
      <c r="Z456" s="12"/>
      <c r="AA456" s="12"/>
      <c r="AB456" s="12"/>
      <c r="AC456" s="12"/>
      <c r="AD456" s="17"/>
    </row>
    <row r="457" spans="2:30" s="3" customFormat="1" ht="13.5" x14ac:dyDescent="0.25">
      <c r="B457" s="21" t="s">
        <v>797</v>
      </c>
      <c r="C457" s="25" t="s">
        <v>53</v>
      </c>
      <c r="D457" s="16"/>
      <c r="E457" s="12"/>
      <c r="F457" s="12"/>
      <c r="G457" s="12"/>
      <c r="H457" s="12"/>
      <c r="I457" s="12"/>
      <c r="J457" s="12"/>
      <c r="K457" s="12"/>
      <c r="L457" s="12"/>
      <c r="M457" s="12"/>
      <c r="N457" s="12"/>
      <c r="O457" s="12"/>
      <c r="P457" s="12"/>
      <c r="Q457" s="12"/>
      <c r="R457" s="12"/>
      <c r="S457" s="12"/>
      <c r="T457" s="12"/>
      <c r="U457" s="12"/>
      <c r="V457" s="12"/>
      <c r="W457" s="12"/>
      <c r="X457" s="12" t="s">
        <v>1562</v>
      </c>
      <c r="Y457" s="12"/>
      <c r="Z457" s="12"/>
      <c r="AA457" s="12"/>
      <c r="AB457" s="12"/>
      <c r="AC457" s="12"/>
      <c r="AD457" s="17"/>
    </row>
    <row r="458" spans="2:30" s="3" customFormat="1" ht="121.5" x14ac:dyDescent="0.25">
      <c r="B458" s="21" t="s">
        <v>798</v>
      </c>
      <c r="C458" s="25" t="s">
        <v>799</v>
      </c>
      <c r="D458" s="16"/>
      <c r="E458" s="12"/>
      <c r="F458" s="12"/>
      <c r="G458" s="12"/>
      <c r="H458" s="12" t="str">
        <f>VLOOKUP(B458,'[1]ART IV'!A:E,5,FALSE)</f>
        <v>Ex. Excepto: Porta papel movible y graduable, para copia directa del mecanógrafo y ficheros de índice visible.</v>
      </c>
      <c r="I458" s="12"/>
      <c r="J458" s="12"/>
      <c r="K458" s="12"/>
      <c r="L458" s="12"/>
      <c r="M458" s="12"/>
      <c r="N458" s="12"/>
      <c r="O458" s="12"/>
      <c r="P458" s="12"/>
      <c r="Q458" s="12"/>
      <c r="R458" s="12"/>
      <c r="S458" s="12"/>
      <c r="T458" s="12"/>
      <c r="U458" s="12"/>
      <c r="V458" s="12"/>
      <c r="W458" s="12"/>
      <c r="X458" s="12"/>
      <c r="Y458" s="12"/>
      <c r="Z458" s="12"/>
      <c r="AA458" s="12"/>
      <c r="AB458" s="12"/>
      <c r="AC458" s="12"/>
      <c r="AD458" s="17"/>
    </row>
    <row r="459" spans="2:30" s="3" customFormat="1" ht="40.5" x14ac:dyDescent="0.25">
      <c r="B459" s="21" t="s">
        <v>800</v>
      </c>
      <c r="C459" s="25" t="s">
        <v>801</v>
      </c>
      <c r="D459" s="16"/>
      <c r="E459" s="12" t="str">
        <f>VLOOKUP(B459,'[1]ART 2 A)'!A:E,5,FALSE)</f>
        <v>Ex.</v>
      </c>
      <c r="F459" s="12"/>
      <c r="G459" s="12"/>
      <c r="H459" s="12"/>
      <c r="I459" s="12"/>
      <c r="J459" s="12"/>
      <c r="K459" s="12"/>
      <c r="L459" s="12"/>
      <c r="M459" s="12"/>
      <c r="N459" s="12" t="s">
        <v>1562</v>
      </c>
      <c r="O459" s="12"/>
      <c r="P459" s="12"/>
      <c r="Q459" s="12"/>
      <c r="R459" s="12"/>
      <c r="S459" s="12"/>
      <c r="T459" s="12"/>
      <c r="U459" s="12"/>
      <c r="V459" s="12"/>
      <c r="W459" s="12"/>
      <c r="X459" s="12"/>
      <c r="Y459" s="12"/>
      <c r="Z459" s="12"/>
      <c r="AA459" s="12"/>
      <c r="AB459" s="12"/>
      <c r="AC459" s="12"/>
      <c r="AD459" s="17"/>
    </row>
    <row r="460" spans="2:30" s="3" customFormat="1" ht="13.5" x14ac:dyDescent="0.25">
      <c r="B460" s="21" t="s">
        <v>802</v>
      </c>
      <c r="C460" s="25" t="s">
        <v>803</v>
      </c>
      <c r="D460" s="16" t="str">
        <f>VLOOKUP(B460,'[1]ART 1'!A:E,5,FALSE)</f>
        <v>5</v>
      </c>
      <c r="E460" s="12" t="str">
        <f>VLOOKUP(B460,'[1]ART 2 A)'!A:E,5,FALSE)</f>
        <v>Ex.</v>
      </c>
      <c r="F460" s="12"/>
      <c r="G460" s="12"/>
      <c r="H460" s="12" t="str">
        <f>VLOOKUP(B460,'[1]ART IV'!A:E,5,FALSE)</f>
        <v xml:space="preserve">Ex. </v>
      </c>
      <c r="I460" s="12"/>
      <c r="J460" s="12"/>
      <c r="K460" s="12"/>
      <c r="L460" s="12" t="str">
        <f>VLOOKUP(B460,'[1]ART 8'!A:E,5,FALSE)</f>
        <v xml:space="preserve">5 </v>
      </c>
      <c r="M460" s="12"/>
      <c r="N460" s="12" t="s">
        <v>1562</v>
      </c>
      <c r="O460" s="12"/>
      <c r="P460" s="12"/>
      <c r="Q460" s="12"/>
      <c r="R460" s="12"/>
      <c r="S460" s="12"/>
      <c r="T460" s="12"/>
      <c r="U460" s="12"/>
      <c r="V460" s="12"/>
      <c r="W460" s="12"/>
      <c r="X460" s="12"/>
      <c r="Y460" s="12"/>
      <c r="Z460" s="12"/>
      <c r="AA460" s="12"/>
      <c r="AB460" s="12"/>
      <c r="AC460" s="12"/>
      <c r="AD460" s="17"/>
    </row>
    <row r="461" spans="2:30" s="3" customFormat="1" ht="13.5" x14ac:dyDescent="0.25">
      <c r="B461" s="21" t="s">
        <v>804</v>
      </c>
      <c r="C461" s="25" t="s">
        <v>805</v>
      </c>
      <c r="D461" s="16" t="str">
        <f>VLOOKUP(B461,'[1]ART 1'!A:E,5,FALSE)</f>
        <v>5</v>
      </c>
      <c r="E461" s="12" t="str">
        <f>VLOOKUP(B461,'[1]ART 2 A)'!A:E,5,FALSE)</f>
        <v>Ex.</v>
      </c>
      <c r="F461" s="12"/>
      <c r="G461" s="12"/>
      <c r="H461" s="12"/>
      <c r="I461" s="12"/>
      <c r="J461" s="12"/>
      <c r="K461" s="12"/>
      <c r="L461" s="12"/>
      <c r="M461" s="12"/>
      <c r="N461" s="12" t="s">
        <v>1562</v>
      </c>
      <c r="O461" s="12"/>
      <c r="P461" s="12"/>
      <c r="Q461" s="12"/>
      <c r="R461" s="12"/>
      <c r="S461" s="12"/>
      <c r="T461" s="12"/>
      <c r="U461" s="12"/>
      <c r="V461" s="12"/>
      <c r="W461" s="12"/>
      <c r="X461" s="12"/>
      <c r="Y461" s="12"/>
      <c r="Z461" s="12"/>
      <c r="AA461" s="12"/>
      <c r="AB461" s="12"/>
      <c r="AC461" s="12"/>
      <c r="AD461" s="17"/>
    </row>
    <row r="462" spans="2:30" s="3" customFormat="1" ht="13.5" x14ac:dyDescent="0.25">
      <c r="B462" s="21" t="s">
        <v>806</v>
      </c>
      <c r="C462" s="25" t="s">
        <v>53</v>
      </c>
      <c r="D462" s="16"/>
      <c r="E462" s="12" t="str">
        <f>VLOOKUP(B462,'[1]ART 2 A)'!A:E,5,FALSE)</f>
        <v>Ex.</v>
      </c>
      <c r="F462" s="12"/>
      <c r="G462" s="12"/>
      <c r="H462" s="12"/>
      <c r="I462" s="12"/>
      <c r="J462" s="12"/>
      <c r="K462" s="12"/>
      <c r="L462" s="12"/>
      <c r="M462" s="12"/>
      <c r="N462" s="12" t="s">
        <v>1570</v>
      </c>
      <c r="O462" s="12"/>
      <c r="P462" s="12" t="s">
        <v>1570</v>
      </c>
      <c r="Q462" s="12"/>
      <c r="R462" s="12"/>
      <c r="S462" s="12"/>
      <c r="T462" s="12"/>
      <c r="U462" s="12" t="s">
        <v>1570</v>
      </c>
      <c r="V462" s="12"/>
      <c r="W462" s="12"/>
      <c r="X462" s="12"/>
      <c r="Y462" s="12"/>
      <c r="Z462" s="12"/>
      <c r="AA462" s="12"/>
      <c r="AB462" s="12"/>
      <c r="AC462" s="12"/>
      <c r="AD462" s="17"/>
    </row>
    <row r="463" spans="2:30" s="3" customFormat="1" ht="27" x14ac:dyDescent="0.25">
      <c r="B463" s="21" t="s">
        <v>807</v>
      </c>
      <c r="C463" s="25" t="s">
        <v>808</v>
      </c>
      <c r="D463" s="16"/>
      <c r="E463" s="12"/>
      <c r="F463" s="12"/>
      <c r="G463" s="12"/>
      <c r="H463" s="12" t="str">
        <f>VLOOKUP(B463,'[1]ART IV'!A:E,5,FALSE)</f>
        <v xml:space="preserve">Ex. </v>
      </c>
      <c r="I463" s="12"/>
      <c r="J463" s="12"/>
      <c r="K463" s="12"/>
      <c r="L463" s="12"/>
      <c r="M463" s="12"/>
      <c r="N463" s="12"/>
      <c r="O463" s="12"/>
      <c r="P463" s="12"/>
      <c r="Q463" s="12"/>
      <c r="R463" s="12"/>
      <c r="S463" s="12" t="s">
        <v>1562</v>
      </c>
      <c r="T463" s="12"/>
      <c r="U463" s="12"/>
      <c r="V463" s="12"/>
      <c r="W463" s="12"/>
      <c r="X463" s="12"/>
      <c r="Y463" s="12"/>
      <c r="Z463" s="12"/>
      <c r="AA463" s="12"/>
      <c r="AB463" s="12"/>
      <c r="AC463" s="12"/>
      <c r="AD463" s="17"/>
    </row>
    <row r="464" spans="2:30" s="3" customFormat="1" ht="13.5" x14ac:dyDescent="0.25">
      <c r="B464" s="21" t="s">
        <v>809</v>
      </c>
      <c r="C464" s="25" t="s">
        <v>53</v>
      </c>
      <c r="D464" s="16"/>
      <c r="E464" s="12"/>
      <c r="F464" s="12"/>
      <c r="G464" s="12" t="str">
        <f>VLOOKUP(B464,'[1]ART 3'!A:E,5,FALSE)</f>
        <v xml:space="preserve">Ex. </v>
      </c>
      <c r="H464" s="12"/>
      <c r="I464" s="12"/>
      <c r="J464" s="12"/>
      <c r="K464" s="12"/>
      <c r="L464" s="12"/>
      <c r="M464" s="12"/>
      <c r="N464" s="12"/>
      <c r="O464" s="12"/>
      <c r="P464" s="12"/>
      <c r="Q464" s="12"/>
      <c r="R464" s="12"/>
      <c r="S464" s="12" t="s">
        <v>1562</v>
      </c>
      <c r="T464" s="12"/>
      <c r="U464" s="12"/>
      <c r="V464" s="12"/>
      <c r="W464" s="12"/>
      <c r="X464" s="12" t="s">
        <v>1562</v>
      </c>
      <c r="Y464" s="12"/>
      <c r="Z464" s="12"/>
      <c r="AA464" s="12"/>
      <c r="AB464" s="12"/>
      <c r="AC464" s="12"/>
      <c r="AD464" s="17"/>
    </row>
    <row r="465" spans="2:30" s="3" customFormat="1" ht="13.5" x14ac:dyDescent="0.25">
      <c r="B465" s="21" t="s">
        <v>810</v>
      </c>
      <c r="C465" s="25" t="s">
        <v>811</v>
      </c>
      <c r="D465" s="16"/>
      <c r="E465" s="12" t="str">
        <f>VLOOKUP(B465,'[1]ART 2 A)'!A:E,5,FALSE)</f>
        <v>Ex.</v>
      </c>
      <c r="F465" s="12"/>
      <c r="G465" s="12"/>
      <c r="H465" s="12"/>
      <c r="I465" s="12"/>
      <c r="J465" s="12"/>
      <c r="K465" s="12"/>
      <c r="L465" s="12"/>
      <c r="M465" s="12" t="str">
        <f>VLOOKUP(B465,'[1]ART 9'!A:E,5,FALSE)</f>
        <v xml:space="preserve">Ex. </v>
      </c>
      <c r="N465" s="12"/>
      <c r="O465" s="12"/>
      <c r="P465" s="12"/>
      <c r="Q465" s="12"/>
      <c r="R465" s="12"/>
      <c r="S465" s="12"/>
      <c r="T465" s="12"/>
      <c r="U465" s="12"/>
      <c r="V465" s="12"/>
      <c r="W465" s="12"/>
      <c r="X465" s="12" t="s">
        <v>1562</v>
      </c>
      <c r="Y465" s="12"/>
      <c r="Z465" s="12"/>
      <c r="AA465" s="12"/>
      <c r="AB465" s="12"/>
      <c r="AC465" s="12"/>
      <c r="AD465" s="17"/>
    </row>
    <row r="466" spans="2:30" s="3" customFormat="1" ht="13.5" x14ac:dyDescent="0.25">
      <c r="B466" s="21" t="s">
        <v>812</v>
      </c>
      <c r="C466" s="25" t="s">
        <v>53</v>
      </c>
      <c r="D466" s="16"/>
      <c r="E466" s="12" t="str">
        <f>VLOOKUP(B466,'[1]ART 2 A)'!A:E,5,FALSE)</f>
        <v>Ex.</v>
      </c>
      <c r="F466" s="12"/>
      <c r="G466" s="12" t="str">
        <f>VLOOKUP(B466,'[1]ART 3'!A:E,5,FALSE)</f>
        <v xml:space="preserve">Ex. </v>
      </c>
      <c r="H466" s="12" t="str">
        <f>VLOOKUP(B466,'[1]ART IV'!A:E,5,FALSE)</f>
        <v xml:space="preserve">Ex. </v>
      </c>
      <c r="I466" s="12" t="str">
        <f>VLOOKUP(B466,'[1]ART 5'!A:E,5,FALSE)</f>
        <v xml:space="preserve">Ex. </v>
      </c>
      <c r="J466" s="12"/>
      <c r="K466" s="12"/>
      <c r="L466" s="12"/>
      <c r="M466" s="12"/>
      <c r="N466" s="12"/>
      <c r="O466" s="12"/>
      <c r="P466" s="12"/>
      <c r="Q466" s="12"/>
      <c r="R466" s="12"/>
      <c r="S466" s="12"/>
      <c r="T466" s="12"/>
      <c r="U466" s="12"/>
      <c r="V466" s="12"/>
      <c r="W466" s="12"/>
      <c r="X466" s="12" t="s">
        <v>1562</v>
      </c>
      <c r="Y466" s="12"/>
      <c r="Z466" s="12"/>
      <c r="AA466" s="12"/>
      <c r="AB466" s="12"/>
      <c r="AC466" s="12"/>
      <c r="AD466" s="17"/>
    </row>
    <row r="467" spans="2:30" s="3" customFormat="1" ht="27" x14ac:dyDescent="0.25">
      <c r="B467" s="21" t="s">
        <v>813</v>
      </c>
      <c r="C467" s="25" t="s">
        <v>814</v>
      </c>
      <c r="D467" s="16"/>
      <c r="E467" s="12" t="str">
        <f>VLOOKUP(B467,'[1]ART 2 A)'!A:E,5,FALSE)</f>
        <v>Ex.</v>
      </c>
      <c r="F467" s="12"/>
      <c r="G467" s="12" t="str">
        <f>VLOOKUP(B467,'[1]ART 3'!A:E,5,FALSE)</f>
        <v xml:space="preserve">Ex. </v>
      </c>
      <c r="H467" s="12" t="str">
        <f>VLOOKUP(B467,'[1]ART IV'!A:E,5,FALSE)</f>
        <v xml:space="preserve">Ex. </v>
      </c>
      <c r="I467" s="12" t="str">
        <f>VLOOKUP(B467,'[1]ART 5'!A:E,5,FALSE)</f>
        <v xml:space="preserve">Ex. </v>
      </c>
      <c r="J467" s="12"/>
      <c r="K467" s="12"/>
      <c r="L467" s="12"/>
      <c r="M467" s="12"/>
      <c r="N467" s="12"/>
      <c r="O467" s="12"/>
      <c r="P467" s="12"/>
      <c r="Q467" s="12"/>
      <c r="R467" s="12"/>
      <c r="S467" s="12"/>
      <c r="T467" s="12"/>
      <c r="U467" s="12"/>
      <c r="V467" s="12"/>
      <c r="W467" s="12"/>
      <c r="X467" s="12" t="s">
        <v>1562</v>
      </c>
      <c r="Y467" s="12"/>
      <c r="Z467" s="12"/>
      <c r="AA467" s="12"/>
      <c r="AB467" s="12"/>
      <c r="AC467" s="12"/>
      <c r="AD467" s="17"/>
    </row>
    <row r="468" spans="2:30" s="3" customFormat="1" ht="13.5" x14ac:dyDescent="0.25">
      <c r="B468" s="21" t="s">
        <v>815</v>
      </c>
      <c r="C468" s="25" t="s">
        <v>816</v>
      </c>
      <c r="D468" s="16"/>
      <c r="E468" s="12"/>
      <c r="F468" s="12"/>
      <c r="G468" s="12" t="str">
        <f>VLOOKUP(B468,'[1]ART 3'!A:E,5,FALSE)</f>
        <v xml:space="preserve">Ex. </v>
      </c>
      <c r="H468" s="12"/>
      <c r="I468" s="12" t="str">
        <f>VLOOKUP(B468,'[1]ART 5'!A:E,5,FALSE)</f>
        <v xml:space="preserve">Ex. </v>
      </c>
      <c r="J468" s="12"/>
      <c r="K468" s="12"/>
      <c r="L468" s="12"/>
      <c r="M468" s="12"/>
      <c r="N468" s="12"/>
      <c r="O468" s="12"/>
      <c r="P468" s="12"/>
      <c r="Q468" s="12"/>
      <c r="R468" s="12"/>
      <c r="S468" s="12"/>
      <c r="T468" s="12"/>
      <c r="U468" s="12"/>
      <c r="V468" s="12"/>
      <c r="W468" s="12"/>
      <c r="X468" s="12" t="s">
        <v>1562</v>
      </c>
      <c r="Y468" s="12"/>
      <c r="Z468" s="12"/>
      <c r="AA468" s="12"/>
      <c r="AB468" s="12"/>
      <c r="AC468" s="12"/>
      <c r="AD468" s="17"/>
    </row>
    <row r="469" spans="2:30" s="3" customFormat="1" ht="148.5" x14ac:dyDescent="0.25">
      <c r="B469" s="21" t="s">
        <v>817</v>
      </c>
      <c r="C469" s="25" t="s">
        <v>818</v>
      </c>
      <c r="D469" s="16"/>
      <c r="E469" s="12" t="str">
        <f>VLOOKUP(B469,'[1]ART 2 A)'!A:E,5,FALSE)</f>
        <v>Ex.Excepto: Tapones sin cerradura, para tanques de gasolina; cápsulas para botellas.</v>
      </c>
      <c r="F469" s="12"/>
      <c r="G469" s="12" t="str">
        <f>VLOOKUP(B469,'[1]ART 3'!A:E,5,FALSE)</f>
        <v>Ex. Excepto: Tapones sin cerradura, para tanques de gasolina; sellos o precintos; cápsulas para botellas.</v>
      </c>
      <c r="H469" s="12" t="str">
        <f>VLOOKUP(B469,'[1]ART IV'!A:E,5,FALSE)</f>
        <v xml:space="preserve">Ex. Únicamente: Sellos o precintos. </v>
      </c>
      <c r="I469" s="12"/>
      <c r="J469" s="12"/>
      <c r="K469" s="12"/>
      <c r="L469" s="12"/>
      <c r="M469" s="12" t="str">
        <f>VLOOKUP(B469,'[1]ART 9'!A:E,5,FALSE)</f>
        <v>Ex. Únicamente: Tapones sin cerradura, para tanques de gasolina.</v>
      </c>
      <c r="N469" s="12"/>
      <c r="O469" s="12"/>
      <c r="P469" s="12" t="s">
        <v>1666</v>
      </c>
      <c r="Q469" s="12"/>
      <c r="R469" s="12"/>
      <c r="S469" s="12" t="s">
        <v>1667</v>
      </c>
      <c r="T469" s="12" t="s">
        <v>1668</v>
      </c>
      <c r="U469" s="12"/>
      <c r="V469" s="12"/>
      <c r="W469" s="12"/>
      <c r="X469" s="12" t="s">
        <v>1669</v>
      </c>
      <c r="Y469" s="12"/>
      <c r="Z469" s="12"/>
      <c r="AA469" s="12"/>
      <c r="AB469" s="12"/>
      <c r="AC469" s="12" t="s">
        <v>1670</v>
      </c>
      <c r="AD469" s="17"/>
    </row>
    <row r="470" spans="2:30" s="3" customFormat="1" ht="27" x14ac:dyDescent="0.25">
      <c r="B470" s="21" t="s">
        <v>819</v>
      </c>
      <c r="C470" s="25" t="s">
        <v>820</v>
      </c>
      <c r="D470" s="16"/>
      <c r="E470" s="12"/>
      <c r="F470" s="12"/>
      <c r="G470" s="12"/>
      <c r="H470" s="12" t="str">
        <f>VLOOKUP(B470,'[1]ART IV'!A:E,5,FALSE)</f>
        <v xml:space="preserve">Ex. </v>
      </c>
      <c r="I470" s="12"/>
      <c r="J470" s="12"/>
      <c r="K470" s="12"/>
      <c r="L470" s="12"/>
      <c r="M470" s="12" t="str">
        <f>VLOOKUP(B470,'[1]ART 9'!A:E,5,FALSE)</f>
        <v xml:space="preserve">Ex. </v>
      </c>
      <c r="N470" s="12"/>
      <c r="O470" s="12"/>
      <c r="P470" s="12"/>
      <c r="Q470" s="12"/>
      <c r="R470" s="12"/>
      <c r="S470" s="12"/>
      <c r="T470" s="12"/>
      <c r="U470" s="12"/>
      <c r="V470" s="12"/>
      <c r="W470" s="12"/>
      <c r="X470" s="12" t="s">
        <v>1571</v>
      </c>
      <c r="Y470" s="12"/>
      <c r="Z470" s="12"/>
      <c r="AA470" s="12"/>
      <c r="AB470" s="12"/>
      <c r="AC470" s="12"/>
      <c r="AD470" s="17"/>
    </row>
    <row r="471" spans="2:30" s="3" customFormat="1" ht="13.5" x14ac:dyDescent="0.25">
      <c r="B471" s="21" t="s">
        <v>821</v>
      </c>
      <c r="C471" s="25" t="s">
        <v>53</v>
      </c>
      <c r="D471" s="16" t="str">
        <f>VLOOKUP(B471,'[1]ART 1'!A:E,5,FALSE)</f>
        <v>5</v>
      </c>
      <c r="E471" s="12" t="str">
        <f>VLOOKUP(B471,'[1]ART 2 A)'!A:E,5,FALSE)</f>
        <v>Ex.</v>
      </c>
      <c r="F471" s="12"/>
      <c r="G471" s="12"/>
      <c r="H471" s="12" t="str">
        <f>VLOOKUP(B471,'[1]ART IV'!A:E,5,FALSE)</f>
        <v xml:space="preserve">Ex. </v>
      </c>
      <c r="I471" s="12"/>
      <c r="J471" s="12"/>
      <c r="K471" s="12" t="str">
        <f>VLOOKUP(B471,'[1]ART 7'!A:E,5,FALSE)</f>
        <v xml:space="preserve">5 </v>
      </c>
      <c r="L471" s="12"/>
      <c r="M471" s="12"/>
      <c r="N471" s="12" t="s">
        <v>1562</v>
      </c>
      <c r="O471" s="12"/>
      <c r="P471" s="12"/>
      <c r="Q471" s="12"/>
      <c r="R471" s="12"/>
      <c r="S471" s="12" t="s">
        <v>1562</v>
      </c>
      <c r="T471" s="12"/>
      <c r="U471" s="12"/>
      <c r="V471" s="12"/>
      <c r="W471" s="12"/>
      <c r="X471" s="12" t="s">
        <v>1562</v>
      </c>
      <c r="Y471" s="12"/>
      <c r="Z471" s="12"/>
      <c r="AA471" s="12"/>
      <c r="AB471" s="12"/>
      <c r="AC471" s="12"/>
      <c r="AD471" s="17"/>
    </row>
    <row r="472" spans="2:30" s="3" customFormat="1" ht="13.5" x14ac:dyDescent="0.25">
      <c r="B472" s="21" t="s">
        <v>822</v>
      </c>
      <c r="C472" s="25" t="s">
        <v>53</v>
      </c>
      <c r="D472" s="16" t="str">
        <f>VLOOKUP(B472,'[1]ART 1'!A:E,5,FALSE)</f>
        <v>Ex.</v>
      </c>
      <c r="E472" s="12" t="str">
        <f>VLOOKUP(B472,'[1]ART 2 A)'!A:E,5,FALSE)</f>
        <v>Ex.</v>
      </c>
      <c r="F472" s="12"/>
      <c r="G472" s="12"/>
      <c r="H472" s="12"/>
      <c r="I472" s="12"/>
      <c r="J472" s="12"/>
      <c r="K472" s="12"/>
      <c r="L472" s="12"/>
      <c r="M472" s="12"/>
      <c r="N472" s="12"/>
      <c r="O472" s="12"/>
      <c r="P472" s="12"/>
      <c r="Q472" s="12"/>
      <c r="R472" s="12"/>
      <c r="S472" s="12"/>
      <c r="T472" s="12"/>
      <c r="U472" s="12"/>
      <c r="V472" s="12"/>
      <c r="W472" s="12"/>
      <c r="X472" s="12" t="s">
        <v>1562</v>
      </c>
      <c r="Y472" s="12"/>
      <c r="Z472" s="12"/>
      <c r="AA472" s="12"/>
      <c r="AB472" s="12"/>
      <c r="AC472" s="12"/>
      <c r="AD472" s="17"/>
    </row>
    <row r="473" spans="2:30" s="3" customFormat="1" ht="40.5" x14ac:dyDescent="0.25">
      <c r="B473" s="9" t="s">
        <v>823</v>
      </c>
      <c r="C473" s="25" t="s">
        <v>824</v>
      </c>
      <c r="D473" s="16"/>
      <c r="E473" s="12"/>
      <c r="F473" s="12"/>
      <c r="G473" s="12"/>
      <c r="H473" s="12"/>
      <c r="I473" s="12"/>
      <c r="J473" s="12"/>
      <c r="K473" s="12"/>
      <c r="L473" s="12"/>
      <c r="M473" s="12"/>
      <c r="N473" s="12"/>
      <c r="O473" s="12"/>
      <c r="P473" s="12"/>
      <c r="Q473" s="12"/>
      <c r="R473" s="12"/>
      <c r="S473" s="12"/>
      <c r="T473" s="12"/>
      <c r="U473" s="12" t="s">
        <v>1570</v>
      </c>
      <c r="V473" s="12"/>
      <c r="W473" s="12"/>
      <c r="X473" s="12"/>
      <c r="Y473" s="12"/>
      <c r="Z473" s="12"/>
      <c r="AA473" s="12"/>
      <c r="AB473" s="12"/>
      <c r="AC473" s="12"/>
      <c r="AD473" s="17" t="s">
        <v>1562</v>
      </c>
    </row>
    <row r="474" spans="2:30" s="3" customFormat="1" ht="40.5" x14ac:dyDescent="0.25">
      <c r="B474" s="9" t="s">
        <v>825</v>
      </c>
      <c r="C474" s="25" t="s">
        <v>826</v>
      </c>
      <c r="D474" s="16"/>
      <c r="E474" s="12"/>
      <c r="F474" s="12"/>
      <c r="G474" s="12"/>
      <c r="H474" s="12"/>
      <c r="I474" s="12"/>
      <c r="J474" s="12"/>
      <c r="K474" s="12"/>
      <c r="L474" s="12"/>
      <c r="M474" s="12"/>
      <c r="N474" s="12"/>
      <c r="O474" s="12" t="s">
        <v>1570</v>
      </c>
      <c r="P474" s="12"/>
      <c r="Q474" s="12"/>
      <c r="R474" s="12"/>
      <c r="S474" s="12"/>
      <c r="T474" s="12"/>
      <c r="U474" s="12" t="s">
        <v>1570</v>
      </c>
      <c r="V474" s="12"/>
      <c r="W474" s="12"/>
      <c r="X474" s="12"/>
      <c r="Y474" s="12"/>
      <c r="Z474" s="12"/>
      <c r="AA474" s="12"/>
      <c r="AB474" s="12"/>
      <c r="AC474" s="12"/>
      <c r="AD474" s="17" t="s">
        <v>1562</v>
      </c>
    </row>
    <row r="475" spans="2:30" s="3" customFormat="1" ht="13.5" x14ac:dyDescent="0.25">
      <c r="B475" s="9" t="s">
        <v>827</v>
      </c>
      <c r="C475" s="25" t="s">
        <v>828</v>
      </c>
      <c r="D475" s="16"/>
      <c r="E475" s="12"/>
      <c r="F475" s="12"/>
      <c r="G475" s="12"/>
      <c r="H475" s="12"/>
      <c r="I475" s="12"/>
      <c r="J475" s="12"/>
      <c r="K475" s="12"/>
      <c r="L475" s="12"/>
      <c r="M475" s="12"/>
      <c r="N475" s="12"/>
      <c r="O475" s="12"/>
      <c r="P475" s="12"/>
      <c r="Q475" s="12"/>
      <c r="R475" s="12"/>
      <c r="S475" s="12"/>
      <c r="T475" s="12"/>
      <c r="U475" s="12" t="s">
        <v>1570</v>
      </c>
      <c r="V475" s="12"/>
      <c r="W475" s="12"/>
      <c r="X475" s="12" t="s">
        <v>1562</v>
      </c>
      <c r="Y475" s="12"/>
      <c r="Z475" s="12"/>
      <c r="AA475" s="12"/>
      <c r="AB475" s="12"/>
      <c r="AC475" s="12"/>
      <c r="AD475" s="17" t="s">
        <v>1562</v>
      </c>
    </row>
    <row r="476" spans="2:30" s="3" customFormat="1" ht="13.5" x14ac:dyDescent="0.25">
      <c r="B476" s="9" t="s">
        <v>829</v>
      </c>
      <c r="C476" s="25" t="s">
        <v>53</v>
      </c>
      <c r="D476" s="16"/>
      <c r="E476" s="12" t="str">
        <f>VLOOKUP(B476,'[1]ART 2 A)'!A:E,5,FALSE)</f>
        <v>Ex.</v>
      </c>
      <c r="F476" s="12"/>
      <c r="G476" s="12"/>
      <c r="H476" s="12"/>
      <c r="I476" s="12"/>
      <c r="J476" s="12"/>
      <c r="K476" s="12"/>
      <c r="L476" s="12"/>
      <c r="M476" s="12"/>
      <c r="N476" s="12"/>
      <c r="O476" s="12"/>
      <c r="P476" s="12" t="s">
        <v>1562</v>
      </c>
      <c r="Q476" s="12"/>
      <c r="R476" s="12"/>
      <c r="S476" s="12"/>
      <c r="T476" s="12"/>
      <c r="U476" s="12" t="s">
        <v>1562</v>
      </c>
      <c r="V476" s="12"/>
      <c r="W476" s="12"/>
      <c r="X476" s="12" t="s">
        <v>1562</v>
      </c>
      <c r="Y476" s="12"/>
      <c r="Z476" s="12"/>
      <c r="AA476" s="12"/>
      <c r="AB476" s="12"/>
      <c r="AC476" s="12"/>
      <c r="AD476" s="17" t="s">
        <v>1562</v>
      </c>
    </row>
    <row r="477" spans="2:30" s="3" customFormat="1" ht="27" x14ac:dyDescent="0.25">
      <c r="B477" s="9" t="s">
        <v>830</v>
      </c>
      <c r="C477" s="25" t="s">
        <v>831</v>
      </c>
      <c r="D477" s="16"/>
      <c r="E477" s="12"/>
      <c r="F477" s="12"/>
      <c r="G477" s="12"/>
      <c r="H477" s="12"/>
      <c r="I477" s="12"/>
      <c r="J477" s="12"/>
      <c r="K477" s="12"/>
      <c r="L477" s="12"/>
      <c r="M477" s="12"/>
      <c r="N477" s="12"/>
      <c r="O477" s="12"/>
      <c r="P477" s="12"/>
      <c r="Q477" s="12"/>
      <c r="R477" s="12"/>
      <c r="S477" s="12"/>
      <c r="T477" s="12"/>
      <c r="U477" s="12"/>
      <c r="V477" s="12"/>
      <c r="W477" s="12"/>
      <c r="X477" s="12" t="s">
        <v>1562</v>
      </c>
      <c r="Y477" s="12"/>
      <c r="Z477" s="12"/>
      <c r="AA477" s="12"/>
      <c r="AB477" s="12"/>
      <c r="AC477" s="12"/>
      <c r="AD477" s="17" t="s">
        <v>1562</v>
      </c>
    </row>
    <row r="478" spans="2:30" s="3" customFormat="1" ht="54" x14ac:dyDescent="0.25">
      <c r="B478" s="9" t="s">
        <v>832</v>
      </c>
      <c r="C478" s="25" t="s">
        <v>833</v>
      </c>
      <c r="D478" s="16"/>
      <c r="E478" s="12"/>
      <c r="F478" s="12"/>
      <c r="G478" s="12"/>
      <c r="H478" s="12"/>
      <c r="I478" s="12"/>
      <c r="J478" s="12"/>
      <c r="K478" s="12"/>
      <c r="L478" s="12"/>
      <c r="M478" s="12"/>
      <c r="N478" s="12"/>
      <c r="O478" s="12"/>
      <c r="P478" s="12"/>
      <c r="Q478" s="12"/>
      <c r="R478" s="12"/>
      <c r="S478" s="12"/>
      <c r="T478" s="12"/>
      <c r="U478" s="12"/>
      <c r="V478" s="12"/>
      <c r="W478" s="12"/>
      <c r="X478" s="12" t="s">
        <v>1562</v>
      </c>
      <c r="Y478" s="12"/>
      <c r="Z478" s="12"/>
      <c r="AA478" s="12"/>
      <c r="AB478" s="12"/>
      <c r="AC478" s="12"/>
      <c r="AD478" s="17"/>
    </row>
    <row r="479" spans="2:30" s="3" customFormat="1" ht="13.5" x14ac:dyDescent="0.25">
      <c r="B479" s="9" t="s">
        <v>834</v>
      </c>
      <c r="C479" s="25" t="s">
        <v>53</v>
      </c>
      <c r="D479" s="16"/>
      <c r="E479" s="12" t="str">
        <f>VLOOKUP(B479,'[1]ART 2 A)'!A:E,5,FALSE)</f>
        <v>Ex.</v>
      </c>
      <c r="F479" s="12"/>
      <c r="G479" s="12"/>
      <c r="H479" s="12"/>
      <c r="I479" s="12"/>
      <c r="J479" s="12"/>
      <c r="K479" s="12"/>
      <c r="L479" s="12"/>
      <c r="M479" s="12"/>
      <c r="N479" s="12"/>
      <c r="O479" s="12"/>
      <c r="P479" s="12"/>
      <c r="Q479" s="12" t="s">
        <v>1562</v>
      </c>
      <c r="R479" s="12"/>
      <c r="S479" s="12"/>
      <c r="T479" s="12"/>
      <c r="U479" s="12"/>
      <c r="V479" s="12"/>
      <c r="W479" s="12"/>
      <c r="X479" s="12" t="s">
        <v>1562</v>
      </c>
      <c r="Y479" s="12"/>
      <c r="Z479" s="12"/>
      <c r="AA479" s="12"/>
      <c r="AB479" s="12"/>
      <c r="AC479" s="12"/>
      <c r="AD479" s="17"/>
    </row>
    <row r="480" spans="2:30" s="3" customFormat="1" ht="27" x14ac:dyDescent="0.25">
      <c r="B480" s="9" t="s">
        <v>835</v>
      </c>
      <c r="C480" s="25" t="s">
        <v>836</v>
      </c>
      <c r="D480" s="16"/>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7" t="s">
        <v>1562</v>
      </c>
    </row>
    <row r="481" spans="2:30" s="3" customFormat="1" ht="27" x14ac:dyDescent="0.25">
      <c r="B481" s="9" t="s">
        <v>837</v>
      </c>
      <c r="C481" s="25" t="s">
        <v>838</v>
      </c>
      <c r="D481" s="16"/>
      <c r="E481" s="12" t="str">
        <f>VLOOKUP(B481,'[1]ART 2 A)'!A:E,5,FALSE)</f>
        <v>Ex.</v>
      </c>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7"/>
    </row>
    <row r="482" spans="2:30" s="3" customFormat="1" ht="67.5" x14ac:dyDescent="0.25">
      <c r="B482" s="9" t="s">
        <v>839</v>
      </c>
      <c r="C482" s="25" t="s">
        <v>840</v>
      </c>
      <c r="D482" s="16"/>
      <c r="E482" s="12"/>
      <c r="F482" s="12"/>
      <c r="G482" s="12"/>
      <c r="H482" s="12"/>
      <c r="I482" s="12"/>
      <c r="J482" s="12"/>
      <c r="K482" s="12"/>
      <c r="L482" s="12"/>
      <c r="M482" s="12"/>
      <c r="N482" s="12"/>
      <c r="O482" s="12"/>
      <c r="P482" s="12"/>
      <c r="Q482" s="12"/>
      <c r="R482" s="12"/>
      <c r="S482" s="12"/>
      <c r="T482" s="12"/>
      <c r="U482" s="12"/>
      <c r="V482" s="12"/>
      <c r="W482" s="12"/>
      <c r="X482" s="12" t="s">
        <v>1562</v>
      </c>
      <c r="Y482" s="12"/>
      <c r="Z482" s="12"/>
      <c r="AA482" s="12"/>
      <c r="AB482" s="12"/>
      <c r="AC482" s="12"/>
      <c r="AD482" s="17"/>
    </row>
    <row r="483" spans="2:30" s="3" customFormat="1" ht="40.5" x14ac:dyDescent="0.25">
      <c r="B483" s="9" t="s">
        <v>841</v>
      </c>
      <c r="C483" s="25" t="s">
        <v>842</v>
      </c>
      <c r="D483" s="16"/>
      <c r="E483" s="12"/>
      <c r="F483" s="12"/>
      <c r="G483" s="12"/>
      <c r="H483" s="12"/>
      <c r="I483" s="12"/>
      <c r="J483" s="12"/>
      <c r="K483" s="12"/>
      <c r="L483" s="12"/>
      <c r="M483" s="12"/>
      <c r="N483" s="12"/>
      <c r="O483" s="12"/>
      <c r="P483" s="12"/>
      <c r="Q483" s="12"/>
      <c r="R483" s="12"/>
      <c r="S483" s="12"/>
      <c r="T483" s="12"/>
      <c r="U483" s="12"/>
      <c r="V483" s="12"/>
      <c r="W483" s="12"/>
      <c r="X483" s="12" t="s">
        <v>1562</v>
      </c>
      <c r="Y483" s="12"/>
      <c r="Z483" s="12"/>
      <c r="AA483" s="12"/>
      <c r="AB483" s="12"/>
      <c r="AC483" s="12"/>
      <c r="AD483" s="17"/>
    </row>
    <row r="484" spans="2:30" s="3" customFormat="1" ht="13.5" x14ac:dyDescent="0.25">
      <c r="B484" s="9" t="s">
        <v>843</v>
      </c>
      <c r="C484" s="25" t="s">
        <v>157</v>
      </c>
      <c r="D484" s="16"/>
      <c r="E484" s="12"/>
      <c r="F484" s="12"/>
      <c r="G484" s="12"/>
      <c r="H484" s="12"/>
      <c r="I484" s="12"/>
      <c r="J484" s="12"/>
      <c r="K484" s="12" t="str">
        <f>VLOOKUP(B484,'[1]ART 7'!A:E,5,FALSE)</f>
        <v xml:space="preserve">Ex. </v>
      </c>
      <c r="L484" s="12"/>
      <c r="M484" s="12" t="str">
        <f>VLOOKUP(B484,'[1]ART 9'!A:E,5,FALSE)</f>
        <v xml:space="preserve">Ex. </v>
      </c>
      <c r="N484" s="12"/>
      <c r="O484" s="12"/>
      <c r="P484" s="12"/>
      <c r="Q484" s="12"/>
      <c r="R484" s="12"/>
      <c r="S484" s="12" t="s">
        <v>1562</v>
      </c>
      <c r="T484" s="12"/>
      <c r="U484" s="12"/>
      <c r="V484" s="12"/>
      <c r="W484" s="12"/>
      <c r="X484" s="12" t="s">
        <v>1562</v>
      </c>
      <c r="Y484" s="12"/>
      <c r="Z484" s="12"/>
      <c r="AA484" s="12"/>
      <c r="AB484" s="12"/>
      <c r="AC484" s="12"/>
      <c r="AD484" s="17"/>
    </row>
    <row r="485" spans="2:30" s="3" customFormat="1" ht="40.5" x14ac:dyDescent="0.25">
      <c r="B485" s="9" t="s">
        <v>844</v>
      </c>
      <c r="C485" s="25" t="s">
        <v>845</v>
      </c>
      <c r="D485" s="16"/>
      <c r="E485" s="12" t="str">
        <f>VLOOKUP(B485,'[1]ART 2 A)'!A:E,5,FALSE)</f>
        <v>Ex.</v>
      </c>
      <c r="F485" s="12"/>
      <c r="G485" s="12" t="str">
        <f>VLOOKUP(B485,'[1]ART 3'!A:E,5,FALSE)</f>
        <v xml:space="preserve">Ex. </v>
      </c>
      <c r="H485" s="12"/>
      <c r="I485" s="12"/>
      <c r="J485" s="12"/>
      <c r="K485" s="12"/>
      <c r="L485" s="12"/>
      <c r="M485" s="12"/>
      <c r="N485" s="12"/>
      <c r="O485" s="12"/>
      <c r="P485" s="12"/>
      <c r="Q485" s="12" t="s">
        <v>1562</v>
      </c>
      <c r="R485" s="12"/>
      <c r="S485" s="12"/>
      <c r="T485" s="12"/>
      <c r="U485" s="12"/>
      <c r="V485" s="12"/>
      <c r="W485" s="12"/>
      <c r="X485" s="12" t="s">
        <v>1562</v>
      </c>
      <c r="Y485" s="12"/>
      <c r="Z485" s="12"/>
      <c r="AA485" s="12"/>
      <c r="AB485" s="12"/>
      <c r="AC485" s="12"/>
      <c r="AD485" s="17"/>
    </row>
    <row r="486" spans="2:30" s="3" customFormat="1" ht="13.5" x14ac:dyDescent="0.25">
      <c r="B486" s="9" t="s">
        <v>846</v>
      </c>
      <c r="C486" s="25" t="s">
        <v>157</v>
      </c>
      <c r="D486" s="16"/>
      <c r="E486" s="12"/>
      <c r="F486" s="12"/>
      <c r="G486" s="12"/>
      <c r="H486" s="12"/>
      <c r="I486" s="12"/>
      <c r="J486" s="12"/>
      <c r="K486" s="12"/>
      <c r="L486" s="12"/>
      <c r="M486" s="12"/>
      <c r="N486" s="12"/>
      <c r="O486" s="12"/>
      <c r="P486" s="12"/>
      <c r="Q486" s="12"/>
      <c r="R486" s="12"/>
      <c r="S486" s="12"/>
      <c r="T486" s="12"/>
      <c r="U486" s="12"/>
      <c r="V486" s="12"/>
      <c r="W486" s="12"/>
      <c r="X486" s="12" t="s">
        <v>1562</v>
      </c>
      <c r="Y486" s="12"/>
      <c r="Z486" s="12"/>
      <c r="AA486" s="12"/>
      <c r="AB486" s="12"/>
      <c r="AC486" s="12"/>
      <c r="AD486" s="17"/>
    </row>
    <row r="487" spans="2:30" s="3" customFormat="1" ht="108" x14ac:dyDescent="0.25">
      <c r="B487" s="9" t="s">
        <v>847</v>
      </c>
      <c r="C487" s="25" t="s">
        <v>848</v>
      </c>
      <c r="D487" s="16"/>
      <c r="E487" s="12" t="str">
        <f>VLOOKUP(B487,'[1]ART 2 A)'!A:E,5,FALSE)</f>
        <v>Ex.</v>
      </c>
      <c r="F487" s="12"/>
      <c r="G487" s="12"/>
      <c r="H487" s="12"/>
      <c r="I487" s="12"/>
      <c r="J487" s="12"/>
      <c r="K487" s="12"/>
      <c r="L487" s="12"/>
      <c r="M487" s="12"/>
      <c r="N487" s="12"/>
      <c r="O487" s="12"/>
      <c r="P487" s="12"/>
      <c r="Q487" s="12" t="s">
        <v>1562</v>
      </c>
      <c r="R487" s="12"/>
      <c r="S487" s="12"/>
      <c r="T487" s="12"/>
      <c r="U487" s="12"/>
      <c r="V487" s="12"/>
      <c r="W487" s="12"/>
      <c r="X487" s="12" t="s">
        <v>1562</v>
      </c>
      <c r="Y487" s="12"/>
      <c r="Z487" s="12"/>
      <c r="AA487" s="12"/>
      <c r="AB487" s="12"/>
      <c r="AC487" s="12"/>
      <c r="AD487" s="17"/>
    </row>
    <row r="488" spans="2:30" s="3" customFormat="1" ht="13.5" x14ac:dyDescent="0.25">
      <c r="B488" s="9" t="s">
        <v>849</v>
      </c>
      <c r="C488" s="25" t="s">
        <v>850</v>
      </c>
      <c r="D488" s="16"/>
      <c r="E488" s="12" t="str">
        <f>VLOOKUP(B488,'[1]ART 2 A)'!A:E,5,FALSE)</f>
        <v>Ex.</v>
      </c>
      <c r="F488" s="12"/>
      <c r="G488" s="12"/>
      <c r="H488" s="12"/>
      <c r="I488" s="12"/>
      <c r="J488" s="12"/>
      <c r="K488" s="12"/>
      <c r="L488" s="12"/>
      <c r="M488" s="12"/>
      <c r="N488" s="12"/>
      <c r="O488" s="12"/>
      <c r="P488" s="12" t="s">
        <v>1562</v>
      </c>
      <c r="Q488" s="12"/>
      <c r="R488" s="12"/>
      <c r="S488" s="12"/>
      <c r="T488" s="12"/>
      <c r="U488" s="12"/>
      <c r="V488" s="12"/>
      <c r="W488" s="12"/>
      <c r="X488" s="12"/>
      <c r="Y488" s="12"/>
      <c r="Z488" s="12"/>
      <c r="AA488" s="12"/>
      <c r="AB488" s="12"/>
      <c r="AC488" s="12"/>
      <c r="AD488" s="17"/>
    </row>
    <row r="489" spans="2:30" s="3" customFormat="1" ht="27" x14ac:dyDescent="0.25">
      <c r="B489" s="9" t="s">
        <v>851</v>
      </c>
      <c r="C489" s="25" t="s">
        <v>852</v>
      </c>
      <c r="D489" s="16"/>
      <c r="E489" s="12" t="str">
        <f>VLOOKUP(B489,'[1]ART 2 A)'!A:E,5,FALSE)</f>
        <v>Ex.</v>
      </c>
      <c r="F489" s="12"/>
      <c r="G489" s="12" t="str">
        <f>VLOOKUP(B489,'[1]ART 3'!A:E,5,FALSE)</f>
        <v xml:space="preserve">Ex. </v>
      </c>
      <c r="H489" s="12" t="str">
        <f>VLOOKUP(B489,'[1]ART IV'!A:E,5,FALSE)</f>
        <v xml:space="preserve">Ex. </v>
      </c>
      <c r="I489" s="12"/>
      <c r="J489" s="12" t="str">
        <f>VLOOKUP(B489,'[1]ART 6'!A:E,5,FALSE)</f>
        <v xml:space="preserve">Ex. </v>
      </c>
      <c r="K489" s="12"/>
      <c r="L489" s="12"/>
      <c r="M489" s="12"/>
      <c r="N489" s="12"/>
      <c r="O489" s="12" t="s">
        <v>1562</v>
      </c>
      <c r="P489" s="12"/>
      <c r="Q489" s="12" t="s">
        <v>1562</v>
      </c>
      <c r="R489" s="12"/>
      <c r="S489" s="12"/>
      <c r="T489" s="12"/>
      <c r="U489" s="12"/>
      <c r="V489" s="12"/>
      <c r="W489" s="12"/>
      <c r="X489" s="12" t="s">
        <v>1562</v>
      </c>
      <c r="Y489" s="12" t="s">
        <v>1562</v>
      </c>
      <c r="Z489" s="12"/>
      <c r="AA489" s="12"/>
      <c r="AB489" s="12"/>
      <c r="AC489" s="12"/>
      <c r="AD489" s="17"/>
    </row>
    <row r="490" spans="2:30" s="3" customFormat="1" ht="13.5" x14ac:dyDescent="0.25">
      <c r="B490" s="9" t="s">
        <v>853</v>
      </c>
      <c r="C490" s="25" t="s">
        <v>854</v>
      </c>
      <c r="D490" s="16"/>
      <c r="E490" s="12"/>
      <c r="F490" s="12"/>
      <c r="G490" s="12"/>
      <c r="H490" s="12"/>
      <c r="I490" s="12"/>
      <c r="J490" s="12"/>
      <c r="K490" s="12"/>
      <c r="L490" s="12"/>
      <c r="M490" s="12"/>
      <c r="N490" s="12"/>
      <c r="O490" s="12"/>
      <c r="P490" s="12"/>
      <c r="Q490" s="12"/>
      <c r="R490" s="12"/>
      <c r="S490" s="12"/>
      <c r="T490" s="12"/>
      <c r="U490" s="12"/>
      <c r="V490" s="12"/>
      <c r="W490" s="12"/>
      <c r="X490" s="12" t="s">
        <v>1562</v>
      </c>
      <c r="Y490" s="12"/>
      <c r="Z490" s="12"/>
      <c r="AA490" s="12"/>
      <c r="AB490" s="12"/>
      <c r="AC490" s="12"/>
      <c r="AD490" s="17"/>
    </row>
    <row r="491" spans="2:30" s="3" customFormat="1" ht="40.5" x14ac:dyDescent="0.25">
      <c r="B491" s="9" t="s">
        <v>855</v>
      </c>
      <c r="C491" s="25" t="s">
        <v>856</v>
      </c>
      <c r="D491" s="16" t="str">
        <f>VLOOKUP(B491,'[1]ART 1'!A:E,5,FALSE)</f>
        <v>5</v>
      </c>
      <c r="E491" s="12" t="str">
        <f>VLOOKUP(B491,'[1]ART 2 A)'!A:E,5,FALSE)</f>
        <v>Ex.</v>
      </c>
      <c r="F491" s="12"/>
      <c r="G491" s="12"/>
      <c r="H491" s="12"/>
      <c r="I491" s="12"/>
      <c r="J491" s="12" t="str">
        <f>VLOOKUP(B491,'[1]ART 6'!A:E,5,FALSE)</f>
        <v xml:space="preserve">5 </v>
      </c>
      <c r="K491" s="12"/>
      <c r="L491" s="12"/>
      <c r="M491" s="12"/>
      <c r="N491" s="12"/>
      <c r="O491" s="12"/>
      <c r="P491" s="12"/>
      <c r="Q491" s="12" t="s">
        <v>1570</v>
      </c>
      <c r="R491" s="12"/>
      <c r="S491" s="12"/>
      <c r="T491" s="12"/>
      <c r="U491" s="12"/>
      <c r="V491" s="12"/>
      <c r="W491" s="12"/>
      <c r="X491" s="12" t="s">
        <v>1562</v>
      </c>
      <c r="Y491" s="12"/>
      <c r="Z491" s="12"/>
      <c r="AA491" s="12"/>
      <c r="AB491" s="12"/>
      <c r="AC491" s="12"/>
      <c r="AD491" s="17"/>
    </row>
    <row r="492" spans="2:30" s="3" customFormat="1" ht="324" x14ac:dyDescent="0.25">
      <c r="B492" s="9" t="s">
        <v>857</v>
      </c>
      <c r="C492" s="25" t="s">
        <v>858</v>
      </c>
      <c r="D492" s="16" t="str">
        <f>VLOOKUP(B492,'[1]ART 1'!A:E,5,FALSE)</f>
        <v>5Excepto: Sumergibles, con tubería de descarga de diámetro interior superior o igual a 63 mm, pero inferior o igual a 610 mm; Motobombas sumergibles; Bombas de tipo centrífugo para manejo de petróleo y sus derivados.</v>
      </c>
      <c r="E492" s="12" t="str">
        <f>VLOOKUP(B492,'[1]ART 2 A)'!A:E,5,FALSE)</f>
        <v>Ex.Excepto: Sumergibles, con tubería de descarga de diámetro interior superior o igual a 63 mm, pero inferior o igual a 610 mm.; Bombas de tipo centrífugo para manejo de petróleo y sus derivados.</v>
      </c>
      <c r="F492" s="12"/>
      <c r="G492" s="12"/>
      <c r="H492" s="12" t="str">
        <f>VLOOKUP(B492,'[1]ART IV'!A:E,5,FALSE)</f>
        <v>Ex. Excepto: Sumergibles, con tubería de descarga de diámetro interior superior o igual a 63 mm, inferior o igual a 610 mm; motobombas sumergibles; bombas de tipo centrífugo para manejo de petróleo y sus derivados.</v>
      </c>
      <c r="I492" s="12"/>
      <c r="J492" s="12" t="str">
        <f>VLOOKUP(B492,'[1]ART 6'!A:E,5,FALSE)</f>
        <v>5 Excepto: Bombas de tipo centrífugo para manejo de petróleo y sus derivados.</v>
      </c>
      <c r="K492" s="12" t="str">
        <f>VLOOKUP(B492,'[1]ART 7'!A:E,5,FALSE)</f>
        <v>5 Excepto: Sumergibles, con tubería de descarga de diámetro interior superior o igual a 63 mm, pero inferior o igual a 610 mm; motobombas sumergibles; bombas de tipo centrífugo para manejo de petróleo y sus derivados.</v>
      </c>
      <c r="L492" s="12"/>
      <c r="M492" s="12"/>
      <c r="N492" s="12" t="s">
        <v>1671</v>
      </c>
      <c r="O492" s="12" t="s">
        <v>1672</v>
      </c>
      <c r="P492" s="12"/>
      <c r="Q492" s="12" t="s">
        <v>1673</v>
      </c>
      <c r="R492" s="12"/>
      <c r="S492" s="12"/>
      <c r="T492" s="12"/>
      <c r="U492" s="12"/>
      <c r="V492" s="12"/>
      <c r="W492" s="12"/>
      <c r="X492" s="12" t="s">
        <v>1674</v>
      </c>
      <c r="Y492" s="12" t="s">
        <v>1675</v>
      </c>
      <c r="Z492" s="12"/>
      <c r="AA492" s="12"/>
      <c r="AB492" s="12"/>
      <c r="AC492" s="12"/>
      <c r="AD492" s="17" t="s">
        <v>1676</v>
      </c>
    </row>
    <row r="493" spans="2:30" s="3" customFormat="1" ht="27" x14ac:dyDescent="0.25">
      <c r="B493" s="9" t="s">
        <v>859</v>
      </c>
      <c r="C493" s="25" t="s">
        <v>860</v>
      </c>
      <c r="D493" s="16"/>
      <c r="E493" s="12"/>
      <c r="F493" s="12"/>
      <c r="G493" s="12"/>
      <c r="H493" s="12"/>
      <c r="I493" s="12"/>
      <c r="J493" s="12"/>
      <c r="K493" s="12"/>
      <c r="L493" s="12"/>
      <c r="M493" s="12"/>
      <c r="N493" s="12"/>
      <c r="O493" s="12"/>
      <c r="P493" s="12"/>
      <c r="Q493" s="12" t="s">
        <v>1570</v>
      </c>
      <c r="R493" s="12"/>
      <c r="S493" s="12"/>
      <c r="T493" s="12"/>
      <c r="U493" s="12"/>
      <c r="V493" s="12"/>
      <c r="W493" s="12"/>
      <c r="X493" s="12" t="s">
        <v>1562</v>
      </c>
      <c r="Y493" s="12"/>
      <c r="Z493" s="12"/>
      <c r="AA493" s="12"/>
      <c r="AB493" s="12"/>
      <c r="AC493" s="12"/>
      <c r="AD493" s="17"/>
    </row>
    <row r="494" spans="2:30" s="3" customFormat="1" ht="40.5" x14ac:dyDescent="0.25">
      <c r="B494" s="9" t="s">
        <v>861</v>
      </c>
      <c r="C494" s="25" t="s">
        <v>862</v>
      </c>
      <c r="D494" s="16" t="str">
        <f>VLOOKUP(B494,'[1]ART 1'!A:E,5,FALSE)</f>
        <v>Ex.</v>
      </c>
      <c r="E494" s="12" t="str">
        <f>VLOOKUP(B494,'[1]ART 2 A)'!A:E,5,FALSE)</f>
        <v>Ex.</v>
      </c>
      <c r="F494" s="12"/>
      <c r="G494" s="12"/>
      <c r="H494" s="12"/>
      <c r="I494" s="12"/>
      <c r="J494" s="12"/>
      <c r="K494" s="12"/>
      <c r="L494" s="12"/>
      <c r="M494" s="12"/>
      <c r="N494" s="12" t="s">
        <v>1562</v>
      </c>
      <c r="O494" s="12" t="s">
        <v>1562</v>
      </c>
      <c r="P494" s="12"/>
      <c r="Q494" s="12"/>
      <c r="R494" s="12"/>
      <c r="S494" s="12"/>
      <c r="T494" s="12"/>
      <c r="U494" s="12"/>
      <c r="V494" s="12"/>
      <c r="W494" s="12"/>
      <c r="X494" s="12" t="s">
        <v>1562</v>
      </c>
      <c r="Y494" s="12"/>
      <c r="Z494" s="12"/>
      <c r="AA494" s="12"/>
      <c r="AB494" s="12"/>
      <c r="AC494" s="12"/>
      <c r="AD494" s="17"/>
    </row>
    <row r="495" spans="2:30" s="3" customFormat="1" ht="13.5" x14ac:dyDescent="0.25">
      <c r="B495" s="9" t="s">
        <v>863</v>
      </c>
      <c r="C495" s="25" t="s">
        <v>864</v>
      </c>
      <c r="D495" s="16"/>
      <c r="E495" s="12" t="str">
        <f>VLOOKUP(B495,'[1]ART 2 A)'!A:E,5,FALSE)</f>
        <v>Ex.</v>
      </c>
      <c r="F495" s="12"/>
      <c r="G495" s="12"/>
      <c r="H495" s="12"/>
      <c r="I495" s="12"/>
      <c r="J495" s="12"/>
      <c r="K495" s="12"/>
      <c r="L495" s="12"/>
      <c r="M495" s="12"/>
      <c r="N495" s="12"/>
      <c r="O495" s="12" t="s">
        <v>1562</v>
      </c>
      <c r="P495" s="12"/>
      <c r="Q495" s="12"/>
      <c r="R495" s="12"/>
      <c r="S495" s="12" t="s">
        <v>1562</v>
      </c>
      <c r="T495" s="12"/>
      <c r="U495" s="12"/>
      <c r="V495" s="12"/>
      <c r="W495" s="12"/>
      <c r="X495" s="12" t="s">
        <v>1562</v>
      </c>
      <c r="Y495" s="12"/>
      <c r="Z495" s="12"/>
      <c r="AA495" s="12"/>
      <c r="AB495" s="12"/>
      <c r="AC495" s="12"/>
      <c r="AD495" s="17"/>
    </row>
    <row r="496" spans="2:30" s="3" customFormat="1" ht="148.5" x14ac:dyDescent="0.25">
      <c r="B496" s="9" t="s">
        <v>865</v>
      </c>
      <c r="C496" s="25" t="s">
        <v>866</v>
      </c>
      <c r="D496" s="16" t="str">
        <f>VLOOKUP(B496,'[1]ART 1'!A:E,5,FALSE)</f>
        <v>Ex.Únicamente: Motocompresores herméticos con potencia superior a 1/28 CP., pero inferior o igual a 1/22 CP.</v>
      </c>
      <c r="E496" s="12" t="str">
        <f>VLOOKUP(B496,'[1]ART 2 A)'!A:E,5,FALSE)</f>
        <v>Ex.</v>
      </c>
      <c r="F496" s="12" t="str">
        <f>VLOOKUP(B496,'[1]ART 2 B)'!A:E,5,FALSE)</f>
        <v>Ex. Únicamente: Motocompresores herméticos con potencia superior a 1/28 CP.</v>
      </c>
      <c r="G496" s="12"/>
      <c r="H496" s="12"/>
      <c r="I496" s="12"/>
      <c r="J496" s="12"/>
      <c r="K496" s="12"/>
      <c r="L496" s="12"/>
      <c r="M496" s="12"/>
      <c r="N496" s="12"/>
      <c r="O496" s="12"/>
      <c r="P496" s="12"/>
      <c r="Q496" s="12"/>
      <c r="R496" s="12"/>
      <c r="S496" s="12"/>
      <c r="T496" s="12"/>
      <c r="U496" s="12"/>
      <c r="V496" s="12"/>
      <c r="W496" s="12"/>
      <c r="X496" s="12" t="s">
        <v>1677</v>
      </c>
      <c r="Y496" s="12"/>
      <c r="Z496" s="12"/>
      <c r="AA496" s="12"/>
      <c r="AB496" s="12"/>
      <c r="AC496" s="12"/>
      <c r="AD496" s="17"/>
    </row>
    <row r="497" spans="2:30" s="3" customFormat="1" ht="40.5" x14ac:dyDescent="0.25">
      <c r="B497" s="9" t="s">
        <v>867</v>
      </c>
      <c r="C497" s="25" t="s">
        <v>868</v>
      </c>
      <c r="D497" s="16" t="str">
        <f>VLOOKUP(B497,'[1]ART 1'!A:E,5,FALSE)</f>
        <v>Ex.</v>
      </c>
      <c r="E497" s="12" t="str">
        <f>VLOOKUP(B497,'[1]ART 2 A)'!A:E,5,FALSE)</f>
        <v>Ex.</v>
      </c>
      <c r="F497" s="12"/>
      <c r="G497" s="12"/>
      <c r="H497" s="12"/>
      <c r="I497" s="12"/>
      <c r="J497" s="12"/>
      <c r="K497" s="12"/>
      <c r="L497" s="12"/>
      <c r="M497" s="12"/>
      <c r="N497" s="12"/>
      <c r="O497" s="12"/>
      <c r="P497" s="12"/>
      <c r="Q497" s="12"/>
      <c r="R497" s="12"/>
      <c r="S497" s="12"/>
      <c r="T497" s="12"/>
      <c r="U497" s="12"/>
      <c r="V497" s="12"/>
      <c r="W497" s="12"/>
      <c r="X497" s="12" t="s">
        <v>1562</v>
      </c>
      <c r="Y497" s="12"/>
      <c r="Z497" s="12"/>
      <c r="AA497" s="12"/>
      <c r="AB497" s="12"/>
      <c r="AC497" s="12"/>
      <c r="AD497" s="17"/>
    </row>
    <row r="498" spans="2:30" s="3" customFormat="1" ht="67.5" x14ac:dyDescent="0.25">
      <c r="B498" s="9" t="s">
        <v>869</v>
      </c>
      <c r="C498" s="25" t="s">
        <v>870</v>
      </c>
      <c r="D498" s="16"/>
      <c r="E498" s="12"/>
      <c r="F498" s="12" t="str">
        <f>VLOOKUP(B498,'[1]ART 2 B)'!A:E,5,FALSE)</f>
        <v xml:space="preserve">Ex. </v>
      </c>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7"/>
    </row>
    <row r="499" spans="2:30" s="3" customFormat="1" ht="13.5" x14ac:dyDescent="0.25">
      <c r="B499" s="9" t="s">
        <v>871</v>
      </c>
      <c r="C499" s="25" t="s">
        <v>53</v>
      </c>
      <c r="D499" s="16" t="str">
        <f>VLOOKUP(B499,'[1]ART 1'!A:E,5,FALSE)</f>
        <v>5</v>
      </c>
      <c r="E499" s="12" t="str">
        <f>VLOOKUP(B499,'[1]ART 2 A)'!A:E,5,FALSE)</f>
        <v>Ex.</v>
      </c>
      <c r="F499" s="12"/>
      <c r="G499" s="12"/>
      <c r="H499" s="12"/>
      <c r="I499" s="12"/>
      <c r="J499" s="12"/>
      <c r="K499" s="12"/>
      <c r="L499" s="12"/>
      <c r="M499" s="12"/>
      <c r="N499" s="12"/>
      <c r="O499" s="12" t="s">
        <v>1570</v>
      </c>
      <c r="P499" s="12"/>
      <c r="Q499" s="12"/>
      <c r="R499" s="12"/>
      <c r="S499" s="12" t="s">
        <v>1570</v>
      </c>
      <c r="T499" s="12"/>
      <c r="U499" s="12"/>
      <c r="V499" s="12"/>
      <c r="W499" s="12"/>
      <c r="X499" s="12" t="s">
        <v>1562</v>
      </c>
      <c r="Y499" s="12"/>
      <c r="Z499" s="12"/>
      <c r="AA499" s="12"/>
      <c r="AB499" s="12"/>
      <c r="AC499" s="12"/>
      <c r="AD499" s="17"/>
    </row>
    <row r="500" spans="2:30" s="3" customFormat="1" ht="54" x14ac:dyDescent="0.25">
      <c r="B500" s="9" t="s">
        <v>872</v>
      </c>
      <c r="C500" s="25" t="s">
        <v>873</v>
      </c>
      <c r="D500" s="16"/>
      <c r="E500" s="12" t="str">
        <f>VLOOKUP(B500,'[1]ART 2 A)'!A:E,5,FALSE)</f>
        <v>Ex.</v>
      </c>
      <c r="F500" s="12"/>
      <c r="G500" s="12"/>
      <c r="H500" s="12"/>
      <c r="I500" s="12"/>
      <c r="J500" s="12"/>
      <c r="K500" s="12"/>
      <c r="L500" s="12"/>
      <c r="M500" s="12"/>
      <c r="N500" s="12"/>
      <c r="O500" s="12"/>
      <c r="P500" s="12"/>
      <c r="Q500" s="12"/>
      <c r="R500" s="12"/>
      <c r="S500" s="12"/>
      <c r="T500" s="12"/>
      <c r="U500" s="12"/>
      <c r="V500" s="12"/>
      <c r="W500" s="12"/>
      <c r="X500" s="12" t="s">
        <v>1562</v>
      </c>
      <c r="Y500" s="12"/>
      <c r="Z500" s="12"/>
      <c r="AA500" s="12"/>
      <c r="AB500" s="12"/>
      <c r="AC500" s="12"/>
      <c r="AD500" s="17"/>
    </row>
    <row r="501" spans="2:30" s="3" customFormat="1" ht="13.5" x14ac:dyDescent="0.25">
      <c r="B501" s="9" t="s">
        <v>874</v>
      </c>
      <c r="C501" s="25" t="s">
        <v>53</v>
      </c>
      <c r="D501" s="16" t="str">
        <f>VLOOKUP(B501,'[1]ART 1'!A:E,5,FALSE)</f>
        <v>Ex.</v>
      </c>
      <c r="E501" s="12" t="str">
        <f>VLOOKUP(B501,'[1]ART 2 A)'!A:E,5,FALSE)</f>
        <v>Ex.</v>
      </c>
      <c r="F501" s="12"/>
      <c r="G501" s="12"/>
      <c r="H501" s="12" t="str">
        <f>VLOOKUP(B501,'[1]ART IV'!A:E,5,FALSE)</f>
        <v xml:space="preserve">Ex. </v>
      </c>
      <c r="I501" s="12"/>
      <c r="J501" s="12"/>
      <c r="K501" s="12"/>
      <c r="L501" s="12"/>
      <c r="M501" s="12"/>
      <c r="N501" s="12"/>
      <c r="O501" s="12"/>
      <c r="P501" s="12"/>
      <c r="Q501" s="12"/>
      <c r="R501" s="12"/>
      <c r="S501" s="12"/>
      <c r="T501" s="12"/>
      <c r="U501" s="12"/>
      <c r="V501" s="12"/>
      <c r="W501" s="12"/>
      <c r="X501" s="12" t="s">
        <v>1562</v>
      </c>
      <c r="Y501" s="12"/>
      <c r="Z501" s="12"/>
      <c r="AA501" s="12"/>
      <c r="AB501" s="12"/>
      <c r="AC501" s="12"/>
      <c r="AD501" s="17"/>
    </row>
    <row r="502" spans="2:30" s="3" customFormat="1" ht="13.5" x14ac:dyDescent="0.25">
      <c r="B502" s="9" t="s">
        <v>875</v>
      </c>
      <c r="C502" s="25" t="s">
        <v>876</v>
      </c>
      <c r="D502" s="16"/>
      <c r="E502" s="12"/>
      <c r="F502" s="12"/>
      <c r="G502" s="12"/>
      <c r="H502" s="12"/>
      <c r="I502" s="12"/>
      <c r="J502" s="12"/>
      <c r="K502" s="12"/>
      <c r="L502" s="12"/>
      <c r="M502" s="12"/>
      <c r="N502" s="12"/>
      <c r="O502" s="12"/>
      <c r="P502" s="12"/>
      <c r="Q502" s="12"/>
      <c r="R502" s="12"/>
      <c r="S502" s="12"/>
      <c r="T502" s="12"/>
      <c r="U502" s="12"/>
      <c r="V502" s="12"/>
      <c r="W502" s="12"/>
      <c r="X502" s="12" t="s">
        <v>1562</v>
      </c>
      <c r="Y502" s="12"/>
      <c r="Z502" s="12"/>
      <c r="AA502" s="12"/>
      <c r="AB502" s="12"/>
      <c r="AC502" s="12"/>
      <c r="AD502" s="17"/>
    </row>
    <row r="503" spans="2:30" s="3" customFormat="1" ht="27" x14ac:dyDescent="0.25">
      <c r="B503" s="9" t="s">
        <v>877</v>
      </c>
      <c r="C503" s="25" t="s">
        <v>878</v>
      </c>
      <c r="D503" s="16" t="str">
        <f>VLOOKUP(B503,'[1]ART 1'!A:E,5,FALSE)</f>
        <v>Ex.</v>
      </c>
      <c r="E503" s="12" t="str">
        <f>VLOOKUP(B503,'[1]ART 2 A)'!A:E,5,FALSE)</f>
        <v>Ex.</v>
      </c>
      <c r="F503" s="12"/>
      <c r="G503" s="12"/>
      <c r="H503" s="12"/>
      <c r="I503" s="12"/>
      <c r="J503" s="12"/>
      <c r="K503" s="12"/>
      <c r="L503" s="12"/>
      <c r="M503" s="12"/>
      <c r="N503" s="12"/>
      <c r="O503" s="12"/>
      <c r="P503" s="12"/>
      <c r="Q503" s="12"/>
      <c r="R503" s="12"/>
      <c r="S503" s="12"/>
      <c r="T503" s="12"/>
      <c r="U503" s="12"/>
      <c r="V503" s="12"/>
      <c r="W503" s="12"/>
      <c r="X503" s="12" t="s">
        <v>1562</v>
      </c>
      <c r="Y503" s="12"/>
      <c r="Z503" s="12"/>
      <c r="AA503" s="12"/>
      <c r="AB503" s="12"/>
      <c r="AC503" s="12"/>
      <c r="AD503" s="17"/>
    </row>
    <row r="504" spans="2:30" s="3" customFormat="1" ht="13.5" x14ac:dyDescent="0.25">
      <c r="B504" s="9" t="s">
        <v>879</v>
      </c>
      <c r="C504" s="25" t="s">
        <v>53</v>
      </c>
      <c r="D504" s="16"/>
      <c r="E504" s="12" t="str">
        <f>VLOOKUP(B504,'[1]ART 2 A)'!A:E,5,FALSE)</f>
        <v>Ex.</v>
      </c>
      <c r="F504" s="12"/>
      <c r="G504" s="12"/>
      <c r="H504" s="12"/>
      <c r="I504" s="12"/>
      <c r="J504" s="12"/>
      <c r="K504" s="12"/>
      <c r="L504" s="12"/>
      <c r="M504" s="12"/>
      <c r="N504" s="12"/>
      <c r="O504" s="12" t="s">
        <v>1570</v>
      </c>
      <c r="P504" s="12"/>
      <c r="Q504" s="12"/>
      <c r="R504" s="12"/>
      <c r="S504" s="12" t="s">
        <v>1570</v>
      </c>
      <c r="T504" s="12"/>
      <c r="U504" s="12"/>
      <c r="V504" s="12"/>
      <c r="W504" s="12"/>
      <c r="X504" s="12" t="s">
        <v>1562</v>
      </c>
      <c r="Y504" s="12" t="s">
        <v>1570</v>
      </c>
      <c r="Z504" s="12"/>
      <c r="AA504" s="12"/>
      <c r="AB504" s="12"/>
      <c r="AC504" s="12"/>
      <c r="AD504" s="17"/>
    </row>
    <row r="505" spans="2:30" s="3" customFormat="1" ht="13.5" x14ac:dyDescent="0.25">
      <c r="B505" s="9" t="s">
        <v>880</v>
      </c>
      <c r="C505" s="25" t="s">
        <v>881</v>
      </c>
      <c r="D505" s="16"/>
      <c r="E505" s="12"/>
      <c r="F505" s="12"/>
      <c r="G505" s="12"/>
      <c r="H505" s="12"/>
      <c r="I505" s="12"/>
      <c r="J505" s="12"/>
      <c r="K505" s="12"/>
      <c r="L505" s="12"/>
      <c r="M505" s="12"/>
      <c r="N505" s="12"/>
      <c r="O505" s="12"/>
      <c r="P505" s="12"/>
      <c r="Q505" s="12"/>
      <c r="R505" s="12"/>
      <c r="S505" s="12"/>
      <c r="T505" s="12"/>
      <c r="U505" s="12"/>
      <c r="V505" s="12"/>
      <c r="W505" s="12"/>
      <c r="X505" s="12" t="s">
        <v>1562</v>
      </c>
      <c r="Y505" s="12"/>
      <c r="Z505" s="12"/>
      <c r="AA505" s="12"/>
      <c r="AB505" s="12"/>
      <c r="AC505" s="12"/>
      <c r="AD505" s="17"/>
    </row>
    <row r="506" spans="2:30" s="3" customFormat="1" ht="13.5" x14ac:dyDescent="0.25">
      <c r="B506" s="9" t="s">
        <v>882</v>
      </c>
      <c r="C506" s="25" t="s">
        <v>53</v>
      </c>
      <c r="D506" s="16" t="str">
        <f>VLOOKUP(B506,'[1]ART 1'!A:E,5,FALSE)</f>
        <v>Ex.</v>
      </c>
      <c r="E506" s="12" t="str">
        <f>VLOOKUP(B506,'[1]ART 2 A)'!A:E,5,FALSE)</f>
        <v>Ex.</v>
      </c>
      <c r="F506" s="12"/>
      <c r="G506" s="12"/>
      <c r="H506" s="12" t="str">
        <f>VLOOKUP(B506,'[1]ART IV'!A:E,5,FALSE)</f>
        <v xml:space="preserve">Ex. </v>
      </c>
      <c r="I506" s="12"/>
      <c r="J506" s="12" t="str">
        <f>VLOOKUP(B506,'[1]ART 6'!A:E,5,FALSE)</f>
        <v xml:space="preserve">5 </v>
      </c>
      <c r="K506" s="12" t="str">
        <f>VLOOKUP(B506,'[1]ART 7'!A:E,5,FALSE)</f>
        <v xml:space="preserve">Ex. </v>
      </c>
      <c r="L506" s="12" t="str">
        <f>VLOOKUP(B506,'[1]ART 8'!A:E,5,FALSE)</f>
        <v xml:space="preserve">Ex. </v>
      </c>
      <c r="M506" s="12"/>
      <c r="N506" s="12"/>
      <c r="O506" s="12" t="s">
        <v>1562</v>
      </c>
      <c r="P506" s="12" t="s">
        <v>1562</v>
      </c>
      <c r="Q506" s="12"/>
      <c r="R506" s="12"/>
      <c r="S506" s="12" t="s">
        <v>1562</v>
      </c>
      <c r="T506" s="12"/>
      <c r="U506" s="12"/>
      <c r="V506" s="12"/>
      <c r="W506" s="12"/>
      <c r="X506" s="12" t="s">
        <v>1562</v>
      </c>
      <c r="Y506" s="12" t="s">
        <v>1562</v>
      </c>
      <c r="Z506" s="12"/>
      <c r="AA506" s="12"/>
      <c r="AB506" s="12"/>
      <c r="AC506" s="12"/>
      <c r="AD506" s="17" t="s">
        <v>1562</v>
      </c>
    </row>
    <row r="507" spans="2:30" s="3" customFormat="1" ht="13.5" x14ac:dyDescent="0.25">
      <c r="B507" s="9" t="s">
        <v>883</v>
      </c>
      <c r="C507" s="25" t="s">
        <v>53</v>
      </c>
      <c r="D507" s="16" t="str">
        <f>VLOOKUP(B507,'[1]ART 1'!A:E,5,FALSE)</f>
        <v>Ex.</v>
      </c>
      <c r="E507" s="12" t="str">
        <f>VLOOKUP(B507,'[1]ART 2 A)'!A:E,5,FALSE)</f>
        <v>Ex.</v>
      </c>
      <c r="F507" s="12"/>
      <c r="G507" s="12"/>
      <c r="H507" s="12" t="str">
        <f>VLOOKUP(B507,'[1]ART IV'!A:E,5,FALSE)</f>
        <v xml:space="preserve">Ex. </v>
      </c>
      <c r="I507" s="12"/>
      <c r="J507" s="12"/>
      <c r="K507" s="12"/>
      <c r="L507" s="12"/>
      <c r="M507" s="12"/>
      <c r="N507" s="12"/>
      <c r="O507" s="12"/>
      <c r="P507" s="12" t="s">
        <v>1562</v>
      </c>
      <c r="Q507" s="12"/>
      <c r="R507" s="12" t="s">
        <v>1562</v>
      </c>
      <c r="S507" s="12"/>
      <c r="T507" s="12"/>
      <c r="U507" s="12"/>
      <c r="V507" s="12"/>
      <c r="W507" s="12"/>
      <c r="X507" s="12" t="s">
        <v>1562</v>
      </c>
      <c r="Y507" s="12" t="s">
        <v>1562</v>
      </c>
      <c r="Z507" s="12"/>
      <c r="AA507" s="12"/>
      <c r="AB507" s="12"/>
      <c r="AC507" s="12" t="s">
        <v>1562</v>
      </c>
      <c r="AD507" s="17"/>
    </row>
    <row r="508" spans="2:30" s="3" customFormat="1" ht="13.5" x14ac:dyDescent="0.25">
      <c r="B508" s="9" t="s">
        <v>884</v>
      </c>
      <c r="C508" s="25" t="s">
        <v>885</v>
      </c>
      <c r="D508" s="16" t="str">
        <f>VLOOKUP(B508,'[1]ART 1'!A:E,5,FALSE)</f>
        <v>Ex.</v>
      </c>
      <c r="E508" s="12" t="str">
        <f>VLOOKUP(B508,'[1]ART 2 A)'!A:E,5,FALSE)</f>
        <v>Ex.</v>
      </c>
      <c r="F508" s="12"/>
      <c r="G508" s="12"/>
      <c r="H508" s="12" t="str">
        <f>VLOOKUP(B508,'[1]ART IV'!A:E,5,FALSE)</f>
        <v xml:space="preserve">Ex. </v>
      </c>
      <c r="I508" s="12"/>
      <c r="J508" s="12"/>
      <c r="K508" s="12"/>
      <c r="L508" s="12"/>
      <c r="M508" s="12"/>
      <c r="N508" s="12"/>
      <c r="O508" s="12"/>
      <c r="P508" s="12" t="s">
        <v>1562</v>
      </c>
      <c r="Q508" s="12"/>
      <c r="R508" s="12" t="s">
        <v>1562</v>
      </c>
      <c r="S508" s="12"/>
      <c r="T508" s="12"/>
      <c r="U508" s="12"/>
      <c r="V508" s="12"/>
      <c r="W508" s="12"/>
      <c r="X508" s="12" t="s">
        <v>1562</v>
      </c>
      <c r="Y508" s="12" t="s">
        <v>1562</v>
      </c>
      <c r="Z508" s="12"/>
      <c r="AA508" s="12"/>
      <c r="AB508" s="12"/>
      <c r="AC508" s="12"/>
      <c r="AD508" s="17"/>
    </row>
    <row r="509" spans="2:30" s="3" customFormat="1" ht="243" x14ac:dyDescent="0.25">
      <c r="B509" s="9" t="s">
        <v>886</v>
      </c>
      <c r="C509" s="25" t="s">
        <v>887</v>
      </c>
      <c r="D509" s="16" t="str">
        <f>VLOOKUP(B509,'[1]ART 1'!A:E,5,FALSE)</f>
        <v>Ex.Excepto: Purificadores de aire, sin dispositivos que modifiquen temperatura y/o humedad, reconocibles como diseñados exclusivamente para campanas aspirantes; depuradores ciclón.</v>
      </c>
      <c r="E509" s="12" t="str">
        <f>VLOOKUP(B509,'[1]ART 2 A)'!A:E,5,FALSE)</f>
        <v>Ex.</v>
      </c>
      <c r="F509" s="12"/>
      <c r="G509" s="12"/>
      <c r="H509" s="12"/>
      <c r="I509" s="12"/>
      <c r="J509" s="12"/>
      <c r="K509" s="12" t="str">
        <f>VLOOKUP(B509,'[1]ART 7'!A:E,5,FALSE)</f>
        <v xml:space="preserve">Ex. </v>
      </c>
      <c r="L509" s="12" t="str">
        <f>VLOOKUP(B509,'[1]ART 8'!A:E,5,FALSE)</f>
        <v xml:space="preserve">Ex. </v>
      </c>
      <c r="M509" s="12" t="str">
        <f>VLOOKUP(B509,'[1]ART 9'!A:E,5,FALSE)</f>
        <v xml:space="preserve">Ex. </v>
      </c>
      <c r="N509" s="12" t="s">
        <v>1562</v>
      </c>
      <c r="O509" s="12" t="s">
        <v>1562</v>
      </c>
      <c r="P509" s="12" t="s">
        <v>1562</v>
      </c>
      <c r="Q509" s="12" t="s">
        <v>1562</v>
      </c>
      <c r="R509" s="12" t="s">
        <v>1562</v>
      </c>
      <c r="S509" s="12" t="s">
        <v>1562</v>
      </c>
      <c r="T509" s="12"/>
      <c r="U509" s="12" t="s">
        <v>1562</v>
      </c>
      <c r="V509" s="12"/>
      <c r="W509" s="12"/>
      <c r="X509" s="12" t="s">
        <v>1562</v>
      </c>
      <c r="Y509" s="12"/>
      <c r="Z509" s="12"/>
      <c r="AA509" s="12"/>
      <c r="AB509" s="12"/>
      <c r="AC509" s="12"/>
      <c r="AD509" s="17"/>
    </row>
    <row r="510" spans="2:30" s="3" customFormat="1" ht="54" x14ac:dyDescent="0.25">
      <c r="B510" s="9" t="s">
        <v>888</v>
      </c>
      <c r="C510" s="25" t="s">
        <v>889</v>
      </c>
      <c r="D510" s="16"/>
      <c r="E510" s="12" t="str">
        <f>VLOOKUP(B510,'[1]ART 2 A)'!A:E,5,FALSE)</f>
        <v>Ex.</v>
      </c>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7"/>
    </row>
    <row r="511" spans="2:30" s="3" customFormat="1" ht="67.5" x14ac:dyDescent="0.25">
      <c r="B511" s="9" t="s">
        <v>890</v>
      </c>
      <c r="C511" s="25" t="s">
        <v>891</v>
      </c>
      <c r="D511" s="16"/>
      <c r="E511" s="12" t="str">
        <f>VLOOKUP(B511,'[1]ART 2 A)'!A:E,5,FALSE)</f>
        <v>Ex.</v>
      </c>
      <c r="F511" s="12"/>
      <c r="G511" s="12"/>
      <c r="H511" s="12"/>
      <c r="I511" s="12"/>
      <c r="J511" s="12"/>
      <c r="K511" s="12"/>
      <c r="L511" s="12"/>
      <c r="M511" s="12"/>
      <c r="N511" s="12"/>
      <c r="O511" s="12"/>
      <c r="P511" s="12"/>
      <c r="Q511" s="12" t="s">
        <v>1562</v>
      </c>
      <c r="R511" s="12" t="s">
        <v>1562</v>
      </c>
      <c r="S511" s="12"/>
      <c r="T511" s="12"/>
      <c r="U511" s="12"/>
      <c r="V511" s="12"/>
      <c r="W511" s="12"/>
      <c r="X511" s="12"/>
      <c r="Y511" s="12"/>
      <c r="Z511" s="12"/>
      <c r="AA511" s="12"/>
      <c r="AB511" s="12"/>
      <c r="AC511" s="12"/>
      <c r="AD511" s="17"/>
    </row>
    <row r="512" spans="2:30" s="3" customFormat="1" ht="27" x14ac:dyDescent="0.25">
      <c r="B512" s="9" t="s">
        <v>892</v>
      </c>
      <c r="C512" s="25" t="s">
        <v>893</v>
      </c>
      <c r="D512" s="16"/>
      <c r="E512" s="12" t="str">
        <f>VLOOKUP(B512,'[1]ART 2 A)'!A:E,5,FALSE)</f>
        <v>Ex.</v>
      </c>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7"/>
    </row>
    <row r="513" spans="2:30" s="3" customFormat="1" ht="27" x14ac:dyDescent="0.25">
      <c r="B513" s="9" t="s">
        <v>894</v>
      </c>
      <c r="C513" s="25" t="s">
        <v>895</v>
      </c>
      <c r="D513" s="16"/>
      <c r="E513" s="12"/>
      <c r="F513" s="12"/>
      <c r="G513" s="12"/>
      <c r="H513" s="12"/>
      <c r="I513" s="12"/>
      <c r="J513" s="12"/>
      <c r="K513" s="12" t="str">
        <f>VLOOKUP(B513,'[1]ART 7'!A:E,5,FALSE)</f>
        <v xml:space="preserve">Ex. </v>
      </c>
      <c r="L513" s="12"/>
      <c r="M513" s="12"/>
      <c r="N513" s="12"/>
      <c r="O513" s="12"/>
      <c r="P513" s="12"/>
      <c r="Q513" s="12"/>
      <c r="R513" s="12"/>
      <c r="S513" s="12"/>
      <c r="T513" s="12"/>
      <c r="U513" s="12"/>
      <c r="V513" s="12"/>
      <c r="W513" s="12"/>
      <c r="X513" s="12" t="s">
        <v>1562</v>
      </c>
      <c r="Y513" s="12"/>
      <c r="Z513" s="12"/>
      <c r="AA513" s="12"/>
      <c r="AB513" s="12"/>
      <c r="AC513" s="12"/>
      <c r="AD513" s="17"/>
    </row>
    <row r="514" spans="2:30" s="3" customFormat="1" ht="54" x14ac:dyDescent="0.25">
      <c r="B514" s="9" t="s">
        <v>896</v>
      </c>
      <c r="C514" s="25" t="s">
        <v>897</v>
      </c>
      <c r="D514" s="16"/>
      <c r="E514" s="12"/>
      <c r="F514" s="12"/>
      <c r="G514" s="12"/>
      <c r="H514" s="12" t="str">
        <f>VLOOKUP(B514,'[1]ART IV'!A:E,5,FALSE)</f>
        <v xml:space="preserve">Ex. </v>
      </c>
      <c r="I514" s="12"/>
      <c r="J514" s="12"/>
      <c r="K514" s="12"/>
      <c r="L514" s="12"/>
      <c r="M514" s="12"/>
      <c r="N514" s="12"/>
      <c r="O514" s="12"/>
      <c r="P514" s="12"/>
      <c r="Q514" s="12"/>
      <c r="R514" s="12"/>
      <c r="S514" s="12"/>
      <c r="T514" s="12"/>
      <c r="U514" s="12"/>
      <c r="V514" s="12"/>
      <c r="W514" s="12"/>
      <c r="X514" s="12" t="s">
        <v>1562</v>
      </c>
      <c r="Y514" s="12"/>
      <c r="Z514" s="12"/>
      <c r="AA514" s="12"/>
      <c r="AB514" s="12"/>
      <c r="AC514" s="12"/>
      <c r="AD514" s="17"/>
    </row>
    <row r="515" spans="2:30" s="3" customFormat="1" ht="54" x14ac:dyDescent="0.25">
      <c r="B515" s="9" t="s">
        <v>898</v>
      </c>
      <c r="C515" s="25" t="s">
        <v>899</v>
      </c>
      <c r="D515" s="16"/>
      <c r="E515" s="12"/>
      <c r="F515" s="12"/>
      <c r="G515" s="12"/>
      <c r="H515" s="12"/>
      <c r="I515" s="12"/>
      <c r="J515" s="12"/>
      <c r="K515" s="12"/>
      <c r="L515" s="12"/>
      <c r="M515" s="12"/>
      <c r="N515" s="12"/>
      <c r="O515" s="12"/>
      <c r="P515" s="12"/>
      <c r="Q515" s="12"/>
      <c r="R515" s="12"/>
      <c r="S515" s="12"/>
      <c r="T515" s="12"/>
      <c r="U515" s="12"/>
      <c r="V515" s="12"/>
      <c r="W515" s="12"/>
      <c r="X515" s="12" t="s">
        <v>1562</v>
      </c>
      <c r="Y515" s="12"/>
      <c r="Z515" s="12"/>
      <c r="AA515" s="12"/>
      <c r="AB515" s="12"/>
      <c r="AC515" s="12"/>
      <c r="AD515" s="17"/>
    </row>
    <row r="516" spans="2:30" s="3" customFormat="1" ht="13.5" x14ac:dyDescent="0.25">
      <c r="B516" s="9" t="s">
        <v>900</v>
      </c>
      <c r="C516" s="25" t="s">
        <v>901</v>
      </c>
      <c r="D516" s="16"/>
      <c r="E516" s="12" t="str">
        <f>VLOOKUP(B516,'[1]ART 2 A)'!A:E,5,FALSE)</f>
        <v>Ex.</v>
      </c>
      <c r="F516" s="12"/>
      <c r="G516" s="12"/>
      <c r="H516" s="12" t="str">
        <f>VLOOKUP(B516,'[1]ART IV'!A:E,5,FALSE)</f>
        <v xml:space="preserve">Ex. </v>
      </c>
      <c r="I516" s="12"/>
      <c r="J516" s="12"/>
      <c r="K516" s="12"/>
      <c r="L516" s="12"/>
      <c r="M516" s="12"/>
      <c r="N516" s="12"/>
      <c r="O516" s="12"/>
      <c r="P516" s="12"/>
      <c r="Q516" s="12"/>
      <c r="R516" s="12"/>
      <c r="S516" s="12" t="s">
        <v>1562</v>
      </c>
      <c r="T516" s="12"/>
      <c r="U516" s="12"/>
      <c r="V516" s="12"/>
      <c r="W516" s="12"/>
      <c r="X516" s="12" t="s">
        <v>1571</v>
      </c>
      <c r="Y516" s="12"/>
      <c r="Z516" s="12"/>
      <c r="AA516" s="12"/>
      <c r="AB516" s="12"/>
      <c r="AC516" s="12"/>
      <c r="AD516" s="17"/>
    </row>
    <row r="517" spans="2:30" s="3" customFormat="1" ht="13.5" x14ac:dyDescent="0.25">
      <c r="B517" s="9" t="s">
        <v>902</v>
      </c>
      <c r="C517" s="25" t="s">
        <v>157</v>
      </c>
      <c r="D517" s="16"/>
      <c r="E517" s="12" t="str">
        <f>VLOOKUP(B517,'[1]ART 2 A)'!A:E,5,FALSE)</f>
        <v>Ex.</v>
      </c>
      <c r="F517" s="12"/>
      <c r="G517" s="12"/>
      <c r="H517" s="12"/>
      <c r="I517" s="12"/>
      <c r="J517" s="12"/>
      <c r="K517" s="12"/>
      <c r="L517" s="12"/>
      <c r="M517" s="12"/>
      <c r="N517" s="12"/>
      <c r="O517" s="12" t="s">
        <v>1570</v>
      </c>
      <c r="P517" s="12"/>
      <c r="Q517" s="12"/>
      <c r="R517" s="12"/>
      <c r="S517" s="12"/>
      <c r="T517" s="12"/>
      <c r="U517" s="12"/>
      <c r="V517" s="12"/>
      <c r="W517" s="12"/>
      <c r="X517" s="12" t="s">
        <v>1562</v>
      </c>
      <c r="Y517" s="12"/>
      <c r="Z517" s="12"/>
      <c r="AA517" s="12"/>
      <c r="AB517" s="12"/>
      <c r="AC517" s="12"/>
      <c r="AD517" s="17"/>
    </row>
    <row r="518" spans="2:30" s="3" customFormat="1" ht="13.5" x14ac:dyDescent="0.25">
      <c r="B518" s="9" t="s">
        <v>903</v>
      </c>
      <c r="C518" s="25" t="s">
        <v>157</v>
      </c>
      <c r="D518" s="16" t="str">
        <f>VLOOKUP(B518,'[1]ART 1'!A:E,5,FALSE)</f>
        <v>5</v>
      </c>
      <c r="E518" s="12"/>
      <c r="F518" s="12" t="str">
        <f>VLOOKUP(B518,'[1]ART 2 B)'!A:E,5,FALSE)</f>
        <v xml:space="preserve">Ex. </v>
      </c>
      <c r="G518" s="12"/>
      <c r="H518" s="12"/>
      <c r="I518" s="12"/>
      <c r="J518" s="12"/>
      <c r="K518" s="12" t="str">
        <f>VLOOKUP(B518,'[1]ART 7'!A:E,5,FALSE)</f>
        <v xml:space="preserve">5 </v>
      </c>
      <c r="L518" s="12"/>
      <c r="M518" s="12"/>
      <c r="N518" s="12"/>
      <c r="O518" s="12"/>
      <c r="P518" s="12"/>
      <c r="Q518" s="12" t="s">
        <v>1570</v>
      </c>
      <c r="R518" s="12"/>
      <c r="S518" s="12"/>
      <c r="T518" s="12"/>
      <c r="U518" s="12"/>
      <c r="V518" s="12"/>
      <c r="W518" s="12"/>
      <c r="X518" s="12" t="s">
        <v>1562</v>
      </c>
      <c r="Y518" s="12"/>
      <c r="Z518" s="12"/>
      <c r="AA518" s="12"/>
      <c r="AB518" s="12"/>
      <c r="AC518" s="12"/>
      <c r="AD518" s="17"/>
    </row>
    <row r="519" spans="2:30" s="3" customFormat="1" ht="324" x14ac:dyDescent="0.25">
      <c r="B519" s="9" t="s">
        <v>904</v>
      </c>
      <c r="C519" s="25" t="s">
        <v>905</v>
      </c>
      <c r="D519" s="16" t="str">
        <f>VLOOKUP(B519,'[1]ART 1'!A:E,5,FALSE)</f>
        <v>Ex.</v>
      </c>
      <c r="E519" s="12" t="str">
        <f>VLOOKUP(B519,'[1]ART 2 A)'!A:E,5,FALSE)</f>
        <v>Ex.</v>
      </c>
      <c r="F519" s="12"/>
      <c r="G519" s="12" t="str">
        <f>VLOOKUP(B519,'[1]ART 3'!A:E,5,FALSE)</f>
        <v xml:space="preserve">Ex. </v>
      </c>
      <c r="H519" s="12"/>
      <c r="I519" s="12"/>
      <c r="J519" s="12"/>
      <c r="K519" s="12" t="str">
        <f>VLOOKUP(B519,'[1]ART 7'!A:E,5,FALSE)</f>
        <v>Ex. Excepto: Sumergibles, con tubería de descarga de diámetro interior superior o igual a 63 mm, pero inferior o igual a 610 mm; Motobombas sumergibles; Bombas de tipo centrífugo para manejo de petróleo y sus derivados.</v>
      </c>
      <c r="L519" s="12"/>
      <c r="M519" s="12"/>
      <c r="N519" s="12"/>
      <c r="O519" s="12"/>
      <c r="P519" s="12"/>
      <c r="Q519" s="12" t="s">
        <v>1562</v>
      </c>
      <c r="R519" s="12"/>
      <c r="S519" s="12"/>
      <c r="T519" s="12"/>
      <c r="U519" s="12"/>
      <c r="V519" s="12"/>
      <c r="W519" s="12"/>
      <c r="X519" s="12" t="s">
        <v>1562</v>
      </c>
      <c r="Y519" s="12"/>
      <c r="Z519" s="12"/>
      <c r="AA519" s="12"/>
      <c r="AB519" s="12"/>
      <c r="AC519" s="12"/>
      <c r="AD519" s="17"/>
    </row>
    <row r="520" spans="2:30" s="3" customFormat="1" ht="13.5" x14ac:dyDescent="0.25">
      <c r="B520" s="9" t="s">
        <v>906</v>
      </c>
      <c r="C520" s="25" t="s">
        <v>53</v>
      </c>
      <c r="D520" s="16" t="str">
        <f>VLOOKUP(B520,'[1]ART 1'!A:E,5,FALSE)</f>
        <v>Ex.</v>
      </c>
      <c r="E520" s="12" t="str">
        <f>VLOOKUP(B520,'[1]ART 2 A)'!A:E,5,FALSE)</f>
        <v>Ex.</v>
      </c>
      <c r="F520" s="12"/>
      <c r="G520" s="12" t="str">
        <f>VLOOKUP(B520,'[1]ART 3'!A:E,5,FALSE)</f>
        <v xml:space="preserve">Ex. </v>
      </c>
      <c r="H520" s="12" t="str">
        <f>VLOOKUP(B520,'[1]ART IV'!A:E,5,FALSE)</f>
        <v xml:space="preserve">Ex. </v>
      </c>
      <c r="I520" s="12"/>
      <c r="J520" s="12"/>
      <c r="K520" s="12"/>
      <c r="L520" s="12"/>
      <c r="M520" s="12"/>
      <c r="N520" s="12" t="s">
        <v>1562</v>
      </c>
      <c r="O520" s="12" t="s">
        <v>1570</v>
      </c>
      <c r="P520" s="12"/>
      <c r="Q520" s="12"/>
      <c r="R520" s="12"/>
      <c r="S520" s="12"/>
      <c r="T520" s="12"/>
      <c r="U520" s="12"/>
      <c r="V520" s="12"/>
      <c r="W520" s="12"/>
      <c r="X520" s="12" t="s">
        <v>1562</v>
      </c>
      <c r="Y520" s="12"/>
      <c r="Z520" s="12"/>
      <c r="AA520" s="12"/>
      <c r="AB520" s="12"/>
      <c r="AC520" s="12" t="s">
        <v>1562</v>
      </c>
      <c r="AD520" s="17"/>
    </row>
    <row r="521" spans="2:30" s="3" customFormat="1" ht="13.5" x14ac:dyDescent="0.25">
      <c r="B521" s="9" t="s">
        <v>907</v>
      </c>
      <c r="C521" s="25" t="s">
        <v>908</v>
      </c>
      <c r="D521" s="16"/>
      <c r="E521" s="12" t="str">
        <f>VLOOKUP(B521,'[1]ART 2 A)'!A:E,5,FALSE)</f>
        <v>Ex.</v>
      </c>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7"/>
    </row>
    <row r="522" spans="2:30" s="3" customFormat="1" ht="67.5" x14ac:dyDescent="0.25">
      <c r="B522" s="9" t="s">
        <v>909</v>
      </c>
      <c r="C522" s="25" t="s">
        <v>910</v>
      </c>
      <c r="D522" s="16"/>
      <c r="E522" s="12" t="str">
        <f>VLOOKUP(B522,'[1]ART 2 A)'!A:E,5,FALSE)</f>
        <v>Ex.Únicamente: De compresión, de uso doméstico.</v>
      </c>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7"/>
    </row>
    <row r="523" spans="2:30" s="3" customFormat="1" ht="409.5" x14ac:dyDescent="0.25">
      <c r="B523" s="9" t="s">
        <v>911</v>
      </c>
      <c r="C523" s="25" t="s">
        <v>912</v>
      </c>
      <c r="D523" s="16"/>
      <c r="E523" s="12" t="str">
        <f>VLOOKUP(B523,'[1]ART 2 A)'!A:E,5,FALSE)</f>
        <v>Ex.Excepto: Máquinas automáticas para la producción de hielo en cubos, escamas u otras formas.</v>
      </c>
      <c r="F523" s="12"/>
      <c r="G523" s="12"/>
      <c r="H523" s="12"/>
      <c r="I523" s="12"/>
      <c r="J523" s="12"/>
      <c r="K523" s="12" t="str">
        <f>VLOOKUP(B523,'[1]ART 7'!A:E,5,FALSE)</f>
        <v>5 Excepto: Máquinas automáticas para la producción de hielo en cubos, escamas u otras formas; aparatos surtidores de agua caliente y fría (incluso refrigerada o a temperatura ambiente), con o sin gabinete de refrigeración incorporado o depósito (por ejemplo, un botellón), aunque puedan conectarse a una tubería (por ejemplo, despachadores).</v>
      </c>
      <c r="L523" s="12"/>
      <c r="M523" s="12"/>
      <c r="N523" s="12"/>
      <c r="O523" s="12"/>
      <c r="P523" s="12"/>
      <c r="Q523" s="12"/>
      <c r="R523" s="12" t="s">
        <v>1678</v>
      </c>
      <c r="S523" s="12"/>
      <c r="T523" s="12"/>
      <c r="U523" s="12"/>
      <c r="V523" s="12"/>
      <c r="W523" s="12"/>
      <c r="X523" s="12" t="s">
        <v>1679</v>
      </c>
      <c r="Y523" s="12"/>
      <c r="Z523" s="12"/>
      <c r="AA523" s="12"/>
      <c r="AB523" s="12"/>
      <c r="AC523" s="12"/>
      <c r="AD523" s="17"/>
    </row>
    <row r="524" spans="2:30" s="3" customFormat="1" ht="27" x14ac:dyDescent="0.25">
      <c r="B524" s="9" t="s">
        <v>913</v>
      </c>
      <c r="C524" s="25" t="s">
        <v>914</v>
      </c>
      <c r="D524" s="16"/>
      <c r="E524" s="12"/>
      <c r="F524" s="12"/>
      <c r="G524" s="12"/>
      <c r="H524" s="12"/>
      <c r="I524" s="12"/>
      <c r="J524" s="12"/>
      <c r="K524" s="12"/>
      <c r="L524" s="12"/>
      <c r="M524" s="12"/>
      <c r="N524" s="12"/>
      <c r="O524" s="12"/>
      <c r="P524" s="12"/>
      <c r="Q524" s="12"/>
      <c r="R524" s="12"/>
      <c r="S524" s="12"/>
      <c r="T524" s="12"/>
      <c r="U524" s="12"/>
      <c r="V524" s="12"/>
      <c r="W524" s="12"/>
      <c r="X524" s="12" t="s">
        <v>1562</v>
      </c>
      <c r="Y524" s="12"/>
      <c r="Z524" s="12"/>
      <c r="AA524" s="12"/>
      <c r="AB524" s="12"/>
      <c r="AC524" s="12"/>
      <c r="AD524" s="17"/>
    </row>
    <row r="525" spans="2:30" s="3" customFormat="1" ht="162" x14ac:dyDescent="0.25">
      <c r="B525" s="9" t="s">
        <v>915</v>
      </c>
      <c r="C525" s="25" t="s">
        <v>53</v>
      </c>
      <c r="D525" s="16"/>
      <c r="E525" s="12"/>
      <c r="F525" s="12"/>
      <c r="G525" s="12"/>
      <c r="H525" s="12" t="str">
        <f>VLOOKUP(B525,'[1]ART IV'!A:E,5,FALSE)</f>
        <v>Ex. Excepto: Calentadores solares de agua, de tubos evacuados; calentadores solares de agua de placas, metálicas o plásticas.</v>
      </c>
      <c r="I525" s="12"/>
      <c r="J525" s="12"/>
      <c r="K525" s="12"/>
      <c r="L525" s="12"/>
      <c r="M525" s="12"/>
      <c r="N525" s="12"/>
      <c r="O525" s="12"/>
      <c r="P525" s="12"/>
      <c r="Q525" s="12"/>
      <c r="R525" s="12"/>
      <c r="S525" s="12"/>
      <c r="T525" s="12"/>
      <c r="U525" s="12"/>
      <c r="V525" s="12"/>
      <c r="W525" s="12"/>
      <c r="X525" s="12"/>
      <c r="Y525" s="12"/>
      <c r="Z525" s="12"/>
      <c r="AA525" s="12"/>
      <c r="AB525" s="12"/>
      <c r="AC525" s="12"/>
      <c r="AD525" s="17"/>
    </row>
    <row r="526" spans="2:30" s="3" customFormat="1" ht="27" x14ac:dyDescent="0.25">
      <c r="B526" s="9" t="s">
        <v>916</v>
      </c>
      <c r="C526" s="25" t="s">
        <v>917</v>
      </c>
      <c r="D526" s="16"/>
      <c r="E526" s="12" t="str">
        <f>VLOOKUP(B526,'[1]ART 2 A)'!A:E,5,FALSE)</f>
        <v>Ex.</v>
      </c>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7"/>
    </row>
    <row r="527" spans="2:30" s="3" customFormat="1" ht="13.5" x14ac:dyDescent="0.25">
      <c r="B527" s="9" t="s">
        <v>918</v>
      </c>
      <c r="C527" s="25" t="s">
        <v>53</v>
      </c>
      <c r="D527" s="16"/>
      <c r="E527" s="12" t="str">
        <f>VLOOKUP(B527,'[1]ART 2 A)'!A:E,5,FALSE)</f>
        <v>Ex.</v>
      </c>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7"/>
    </row>
    <row r="528" spans="2:30" s="3" customFormat="1" ht="81" x14ac:dyDescent="0.25">
      <c r="B528" s="9" t="s">
        <v>919</v>
      </c>
      <c r="C528" s="25" t="s">
        <v>920</v>
      </c>
      <c r="D528" s="16"/>
      <c r="E528" s="12"/>
      <c r="F528" s="12"/>
      <c r="G528" s="12"/>
      <c r="H528" s="12"/>
      <c r="I528" s="12"/>
      <c r="J528" s="12"/>
      <c r="K528" s="12"/>
      <c r="L528" s="12"/>
      <c r="M528" s="12"/>
      <c r="N528" s="12"/>
      <c r="O528" s="12"/>
      <c r="P528" s="12"/>
      <c r="Q528" s="12"/>
      <c r="R528" s="12"/>
      <c r="S528" s="12"/>
      <c r="T528" s="12"/>
      <c r="U528" s="12"/>
      <c r="V528" s="12"/>
      <c r="W528" s="12"/>
      <c r="X528" s="12" t="s">
        <v>1562</v>
      </c>
      <c r="Y528" s="12"/>
      <c r="Z528" s="12"/>
      <c r="AA528" s="12"/>
      <c r="AB528" s="12"/>
      <c r="AC528" s="12"/>
      <c r="AD528" s="17"/>
    </row>
    <row r="529" spans="2:30" s="3" customFormat="1" ht="54" x14ac:dyDescent="0.25">
      <c r="B529" s="9" t="s">
        <v>921</v>
      </c>
      <c r="C529" s="25" t="s">
        <v>922</v>
      </c>
      <c r="D529" s="16"/>
      <c r="E529" s="12" t="str">
        <f>VLOOKUP(B529,'[1]ART 2 A)'!A:E,5,FALSE)</f>
        <v>Ex.</v>
      </c>
      <c r="F529" s="12"/>
      <c r="G529" s="12"/>
      <c r="H529" s="12" t="str">
        <f>VLOOKUP(B529,'[1]ART IV'!A:E,5,FALSE)</f>
        <v xml:space="preserve">Ex. </v>
      </c>
      <c r="I529" s="12"/>
      <c r="J529" s="12"/>
      <c r="K529" s="12"/>
      <c r="L529" s="12"/>
      <c r="M529" s="12" t="str">
        <f>VLOOKUP(B529,'[1]ART 9'!A:E,5,FALSE)</f>
        <v xml:space="preserve">Ex. </v>
      </c>
      <c r="N529" s="12"/>
      <c r="O529" s="12"/>
      <c r="P529" s="12"/>
      <c r="Q529" s="12"/>
      <c r="R529" s="12"/>
      <c r="S529" s="12"/>
      <c r="T529" s="12"/>
      <c r="U529" s="12"/>
      <c r="V529" s="12"/>
      <c r="W529" s="12"/>
      <c r="X529" s="12" t="s">
        <v>1562</v>
      </c>
      <c r="Y529" s="12"/>
      <c r="Z529" s="12"/>
      <c r="AA529" s="12"/>
      <c r="AB529" s="12"/>
      <c r="AC529" s="12"/>
      <c r="AD529" s="17"/>
    </row>
    <row r="530" spans="2:30" s="3" customFormat="1" ht="27" x14ac:dyDescent="0.25">
      <c r="B530" s="9" t="s">
        <v>923</v>
      </c>
      <c r="C530" s="25" t="s">
        <v>924</v>
      </c>
      <c r="D530" s="16"/>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7" t="s">
        <v>1562</v>
      </c>
    </row>
    <row r="531" spans="2:30" s="3" customFormat="1" ht="27" x14ac:dyDescent="0.25">
      <c r="B531" s="9" t="s">
        <v>925</v>
      </c>
      <c r="C531" s="25" t="s">
        <v>926</v>
      </c>
      <c r="D531" s="16"/>
      <c r="E531" s="12" t="str">
        <f>VLOOKUP(B531,'[1]ART 2 A)'!A:E,5,FALSE)</f>
        <v>Ex.</v>
      </c>
      <c r="F531" s="12"/>
      <c r="G531" s="12"/>
      <c r="H531" s="12"/>
      <c r="I531" s="12"/>
      <c r="J531" s="12"/>
      <c r="K531" s="12"/>
      <c r="L531" s="12"/>
      <c r="M531" s="12"/>
      <c r="N531" s="12"/>
      <c r="O531" s="12"/>
      <c r="P531" s="12"/>
      <c r="Q531" s="12"/>
      <c r="R531" s="12" t="s">
        <v>1562</v>
      </c>
      <c r="S531" s="12"/>
      <c r="T531" s="12"/>
      <c r="U531" s="12"/>
      <c r="V531" s="12"/>
      <c r="W531" s="12"/>
      <c r="X531" s="12"/>
      <c r="Y531" s="12"/>
      <c r="Z531" s="12"/>
      <c r="AA531" s="12"/>
      <c r="AB531" s="12"/>
      <c r="AC531" s="12"/>
      <c r="AD531" s="17" t="s">
        <v>1562</v>
      </c>
    </row>
    <row r="532" spans="2:30" s="3" customFormat="1" ht="40.5" x14ac:dyDescent="0.25">
      <c r="B532" s="9" t="s">
        <v>927</v>
      </c>
      <c r="C532" s="25" t="s">
        <v>928</v>
      </c>
      <c r="D532" s="16" t="str">
        <f>VLOOKUP(B532,'[1]ART 1'!A:E,5,FALSE)</f>
        <v>Ex.Excepto: Para albercas.</v>
      </c>
      <c r="E532" s="12" t="str">
        <f>VLOOKUP(B532,'[1]ART 2 A)'!A:E,5,FALSE)</f>
        <v>Ex.Excepto: Para albercas.</v>
      </c>
      <c r="F532" s="12"/>
      <c r="G532" s="12"/>
      <c r="H532" s="12"/>
      <c r="I532" s="12"/>
      <c r="J532" s="12"/>
      <c r="K532" s="12"/>
      <c r="L532" s="12"/>
      <c r="M532" s="12" t="str">
        <f>VLOOKUP(B532,'[1]ART 9'!A:E,5,FALSE)</f>
        <v>Ex. Excepto: Para albercas.</v>
      </c>
      <c r="N532" s="12" t="s">
        <v>1680</v>
      </c>
      <c r="O532" s="12" t="s">
        <v>1680</v>
      </c>
      <c r="P532" s="12" t="s">
        <v>1680</v>
      </c>
      <c r="Q532" s="12"/>
      <c r="R532" s="12"/>
      <c r="S532" s="12" t="s">
        <v>1680</v>
      </c>
      <c r="T532" s="12"/>
      <c r="U532" s="12"/>
      <c r="V532" s="12"/>
      <c r="W532" s="12"/>
      <c r="X532" s="12" t="s">
        <v>1680</v>
      </c>
      <c r="Y532" s="12"/>
      <c r="Z532" s="12"/>
      <c r="AA532" s="12"/>
      <c r="AB532" s="12"/>
      <c r="AC532" s="12"/>
      <c r="AD532" s="17"/>
    </row>
    <row r="533" spans="2:30" s="3" customFormat="1" ht="54" x14ac:dyDescent="0.25">
      <c r="B533" s="9" t="s">
        <v>929</v>
      </c>
      <c r="C533" s="25" t="s">
        <v>930</v>
      </c>
      <c r="D533" s="16"/>
      <c r="E533" s="12"/>
      <c r="F533" s="12"/>
      <c r="G533" s="12"/>
      <c r="H533" s="12"/>
      <c r="I533" s="12"/>
      <c r="J533" s="12"/>
      <c r="K533" s="12"/>
      <c r="L533" s="12"/>
      <c r="M533" s="12" t="str">
        <f>VLOOKUP(B533,'[1]ART 9'!A:E,5,FALSE)</f>
        <v xml:space="preserve">Ex. </v>
      </c>
      <c r="N533" s="12"/>
      <c r="O533" s="12"/>
      <c r="P533" s="12"/>
      <c r="Q533" s="12"/>
      <c r="R533" s="12"/>
      <c r="S533" s="12"/>
      <c r="T533" s="12"/>
      <c r="U533" s="12"/>
      <c r="V533" s="12"/>
      <c r="W533" s="12"/>
      <c r="X533" s="12" t="s">
        <v>1562</v>
      </c>
      <c r="Y533" s="12"/>
      <c r="Z533" s="12"/>
      <c r="AA533" s="12"/>
      <c r="AB533" s="12"/>
      <c r="AC533" s="12"/>
      <c r="AD533" s="17"/>
    </row>
    <row r="534" spans="2:30" s="3" customFormat="1" ht="94.5" x14ac:dyDescent="0.25">
      <c r="B534" s="9" t="s">
        <v>931</v>
      </c>
      <c r="C534" s="25" t="s">
        <v>932</v>
      </c>
      <c r="D534" s="16"/>
      <c r="E534" s="12"/>
      <c r="F534" s="12"/>
      <c r="G534" s="12"/>
      <c r="H534" s="12"/>
      <c r="I534" s="12"/>
      <c r="J534" s="12"/>
      <c r="K534" s="12"/>
      <c r="L534" s="12"/>
      <c r="M534" s="12"/>
      <c r="N534" s="12"/>
      <c r="O534" s="12"/>
      <c r="P534" s="12"/>
      <c r="Q534" s="12"/>
      <c r="R534" s="12"/>
      <c r="S534" s="12"/>
      <c r="T534" s="12"/>
      <c r="U534" s="12"/>
      <c r="V534" s="12"/>
      <c r="W534" s="12"/>
      <c r="X534" s="12" t="s">
        <v>1562</v>
      </c>
      <c r="Y534" s="12"/>
      <c r="Z534" s="12"/>
      <c r="AA534" s="12"/>
      <c r="AB534" s="12"/>
      <c r="AC534" s="12"/>
      <c r="AD534" s="17"/>
    </row>
    <row r="535" spans="2:30" s="3" customFormat="1" ht="13.5" x14ac:dyDescent="0.25">
      <c r="B535" s="9" t="s">
        <v>933</v>
      </c>
      <c r="C535" s="25" t="s">
        <v>934</v>
      </c>
      <c r="D535" s="16"/>
      <c r="E535" s="12"/>
      <c r="F535" s="12"/>
      <c r="G535" s="12"/>
      <c r="H535" s="12"/>
      <c r="I535" s="12"/>
      <c r="J535" s="12"/>
      <c r="K535" s="12"/>
      <c r="L535" s="12"/>
      <c r="M535" s="12"/>
      <c r="N535" s="12"/>
      <c r="O535" s="12"/>
      <c r="P535" s="12"/>
      <c r="Q535" s="12"/>
      <c r="R535" s="12"/>
      <c r="S535" s="12"/>
      <c r="T535" s="12"/>
      <c r="U535" s="12" t="s">
        <v>1562</v>
      </c>
      <c r="V535" s="12"/>
      <c r="W535" s="12"/>
      <c r="X535" s="12" t="s">
        <v>1562</v>
      </c>
      <c r="Y535" s="12"/>
      <c r="Z535" s="12"/>
      <c r="AA535" s="12"/>
      <c r="AB535" s="12"/>
      <c r="AC535" s="12"/>
      <c r="AD535" s="17"/>
    </row>
    <row r="536" spans="2:30" s="3" customFormat="1" ht="13.5" x14ac:dyDescent="0.25">
      <c r="B536" s="9" t="s">
        <v>935</v>
      </c>
      <c r="C536" s="25" t="s">
        <v>53</v>
      </c>
      <c r="D536" s="16"/>
      <c r="E536" s="12" t="str">
        <f>VLOOKUP(B536,'[1]ART 2 A)'!A:E,5,FALSE)</f>
        <v>Ex.</v>
      </c>
      <c r="F536" s="12"/>
      <c r="G536" s="12"/>
      <c r="H536" s="12"/>
      <c r="I536" s="12"/>
      <c r="J536" s="12"/>
      <c r="K536" s="12"/>
      <c r="L536" s="12"/>
      <c r="M536" s="12" t="str">
        <f>VLOOKUP(B536,'[1]ART 9'!A:E,5,FALSE)</f>
        <v xml:space="preserve">Ex. </v>
      </c>
      <c r="N536" s="12" t="s">
        <v>1562</v>
      </c>
      <c r="O536" s="12"/>
      <c r="P536" s="12"/>
      <c r="Q536" s="12"/>
      <c r="R536" s="12"/>
      <c r="S536" s="12" t="s">
        <v>1562</v>
      </c>
      <c r="T536" s="12" t="s">
        <v>1562</v>
      </c>
      <c r="U536" s="12"/>
      <c r="V536" s="12"/>
      <c r="W536" s="12"/>
      <c r="X536" s="12" t="s">
        <v>1562</v>
      </c>
      <c r="Y536" s="12"/>
      <c r="Z536" s="12"/>
      <c r="AA536" s="12"/>
      <c r="AB536" s="12"/>
      <c r="AC536" s="12"/>
      <c r="AD536" s="17"/>
    </row>
    <row r="537" spans="2:30" s="3" customFormat="1" ht="270" x14ac:dyDescent="0.25">
      <c r="B537" s="9" t="s">
        <v>936</v>
      </c>
      <c r="C537" s="25" t="s">
        <v>53</v>
      </c>
      <c r="D537" s="16" t="str">
        <f>VLOOKUP(B537,'[1]ART 1'!A:E,5,FALSE)</f>
        <v>Ex.Excepto: Purificadores de aire, sin dispositivos que modifiquen temperatura y/o humedad, reconocibles como diseñados exclusivamente para campanas aspirantes de uso doméstico; depuradores ciclón.</v>
      </c>
      <c r="E537" s="12" t="str">
        <f>VLOOKUP(B537,'[1]ART 2 A)'!A:E,5,FALSE)</f>
        <v>Ex.Excepto: Depuradores ciclón.</v>
      </c>
      <c r="F537" s="12"/>
      <c r="G537" s="12"/>
      <c r="H537" s="12"/>
      <c r="I537" s="12"/>
      <c r="J537" s="12"/>
      <c r="K537" s="12" t="str">
        <f>VLOOKUP(B537,'[1]ART 7'!A:E,5,FALSE)</f>
        <v xml:space="preserve">Ex. </v>
      </c>
      <c r="L537" s="12" t="str">
        <f>VLOOKUP(B537,'[1]ART 8'!A:E,5,FALSE)</f>
        <v xml:space="preserve">Ex. </v>
      </c>
      <c r="M537" s="12" t="str">
        <f>VLOOKUP(B537,'[1]ART 9'!A:E,5,FALSE)</f>
        <v xml:space="preserve">Ex. </v>
      </c>
      <c r="N537" s="12" t="s">
        <v>1562</v>
      </c>
      <c r="O537" s="12" t="s">
        <v>1562</v>
      </c>
      <c r="P537" s="12" t="s">
        <v>1562</v>
      </c>
      <c r="Q537" s="12" t="s">
        <v>1681</v>
      </c>
      <c r="R537" s="12" t="s">
        <v>1562</v>
      </c>
      <c r="S537" s="12" t="s">
        <v>1562</v>
      </c>
      <c r="T537" s="12"/>
      <c r="U537" s="12" t="s">
        <v>1562</v>
      </c>
      <c r="V537" s="12"/>
      <c r="W537" s="12"/>
      <c r="X537" s="12"/>
      <c r="Y537" s="12"/>
      <c r="Z537" s="12"/>
      <c r="AA537" s="12"/>
      <c r="AB537" s="12"/>
      <c r="AC537" s="12"/>
      <c r="AD537" s="17"/>
    </row>
    <row r="538" spans="2:30" s="3" customFormat="1" ht="283.5" x14ac:dyDescent="0.25">
      <c r="B538" s="9" t="s">
        <v>937</v>
      </c>
      <c r="C538" s="25" t="s">
        <v>934</v>
      </c>
      <c r="D538" s="16" t="str">
        <f>VLOOKUP(B538,'[1]ART 1'!A:E,5,FALSE)</f>
        <v>Ex.Excepto: Purificadores de aire, sin dispositivos que modifiquen temperatura y/o humedad, reconocibles como diseñados exclusivamente para campanas aspirantes de uso doméstico; depuradores ciclón.</v>
      </c>
      <c r="E538" s="12" t="str">
        <f>VLOOKUP(B538,'[1]ART 2 A)'!A:E,5,FALSE)</f>
        <v>Ex.Excepto: Depuradores ciclón.</v>
      </c>
      <c r="F538" s="12"/>
      <c r="G538" s="12"/>
      <c r="H538" s="12"/>
      <c r="I538" s="12"/>
      <c r="J538" s="12"/>
      <c r="K538" s="12" t="str">
        <f>VLOOKUP(B538,'[1]ART 7'!A:E,5,FALSE)</f>
        <v>Ex. Excepto: Depuradores ciclón; Purificadores de aire, sin dispositivos que modifiquen temperatura y/o humedad, reconocibles como diseñados exclusivamente para campanas aspirantes de uso doméstico.</v>
      </c>
      <c r="L538" s="12" t="str">
        <f>VLOOKUP(B538,'[1]ART 8'!A:E,5,FALSE)</f>
        <v>Ex. Excepto: Depuradores ciclón; purificadores de aire, sin dispositivos que modifiquen temperatura y/o humedad, reconocibles como diseñados exclusivamente para campanas aspirantes de uso doméstico.</v>
      </c>
      <c r="M538" s="12" t="str">
        <f>VLOOKUP(B538,'[1]ART 9'!A:E,5,FALSE)</f>
        <v>Ex. Excepto: Depuradores ciclón; purificadores de aire, sin dispositivos que modifiquen temperatura y/o humedad, reconocibles como diseñados exclusivamente para campanas aspirantes de uso doméstico.</v>
      </c>
      <c r="N538" s="12" t="s">
        <v>1682</v>
      </c>
      <c r="O538" s="12" t="s">
        <v>1682</v>
      </c>
      <c r="P538" s="12" t="s">
        <v>1682</v>
      </c>
      <c r="Q538" s="12" t="s">
        <v>1681</v>
      </c>
      <c r="R538" s="12" t="s">
        <v>1682</v>
      </c>
      <c r="S538" s="12" t="s">
        <v>1683</v>
      </c>
      <c r="T538" s="12"/>
      <c r="U538" s="12" t="s">
        <v>1681</v>
      </c>
      <c r="V538" s="12"/>
      <c r="W538" s="12"/>
      <c r="X538" s="12" t="s">
        <v>1684</v>
      </c>
      <c r="Y538" s="12"/>
      <c r="Z538" s="12"/>
      <c r="AA538" s="12"/>
      <c r="AB538" s="12"/>
      <c r="AC538" s="12"/>
      <c r="AD538" s="17"/>
    </row>
    <row r="539" spans="2:30" s="3" customFormat="1" ht="13.5" x14ac:dyDescent="0.25">
      <c r="B539" s="9" t="s">
        <v>938</v>
      </c>
      <c r="C539" s="25" t="s">
        <v>157</v>
      </c>
      <c r="D539" s="16"/>
      <c r="E539" s="12"/>
      <c r="F539" s="12"/>
      <c r="G539" s="12"/>
      <c r="H539" s="12" t="str">
        <f>VLOOKUP(B539,'[1]ART IV'!A:E,5,FALSE)</f>
        <v xml:space="preserve">Ex. </v>
      </c>
      <c r="I539" s="12"/>
      <c r="J539" s="12"/>
      <c r="K539" s="12"/>
      <c r="L539" s="12"/>
      <c r="M539" s="12"/>
      <c r="N539" s="12"/>
      <c r="O539" s="12"/>
      <c r="P539" s="12"/>
      <c r="Q539" s="12"/>
      <c r="R539" s="12"/>
      <c r="S539" s="12"/>
      <c r="T539" s="12"/>
      <c r="U539" s="12"/>
      <c r="V539" s="12"/>
      <c r="W539" s="12"/>
      <c r="X539" s="12" t="s">
        <v>1562</v>
      </c>
      <c r="Y539" s="12"/>
      <c r="Z539" s="12"/>
      <c r="AA539" s="12"/>
      <c r="AB539" s="12"/>
      <c r="AC539" s="12"/>
      <c r="AD539" s="17"/>
    </row>
    <row r="540" spans="2:30" s="3" customFormat="1" ht="13.5" x14ac:dyDescent="0.25">
      <c r="B540" s="9" t="s">
        <v>939</v>
      </c>
      <c r="C540" s="25" t="s">
        <v>53</v>
      </c>
      <c r="D540" s="16"/>
      <c r="E540" s="12"/>
      <c r="F540" s="12"/>
      <c r="G540" s="12" t="str">
        <f>VLOOKUP(B540,'[1]ART 3'!A:E,5,FALSE)</f>
        <v xml:space="preserve">Ex. </v>
      </c>
      <c r="H540" s="12"/>
      <c r="I540" s="12"/>
      <c r="J540" s="12" t="str">
        <f>VLOOKUP(B540,'[1]ART 6'!A:E,5,FALSE)</f>
        <v xml:space="preserve">5 </v>
      </c>
      <c r="K540" s="12"/>
      <c r="L540" s="12"/>
      <c r="M540" s="12"/>
      <c r="N540" s="12" t="s">
        <v>1562</v>
      </c>
      <c r="O540" s="12"/>
      <c r="P540" s="12"/>
      <c r="Q540" s="12"/>
      <c r="R540" s="12" t="s">
        <v>1562</v>
      </c>
      <c r="S540" s="12"/>
      <c r="T540" s="12"/>
      <c r="U540" s="12"/>
      <c r="V540" s="12"/>
      <c r="W540" s="12"/>
      <c r="X540" s="12" t="s">
        <v>1562</v>
      </c>
      <c r="Y540" s="12"/>
      <c r="Z540" s="12"/>
      <c r="AA540" s="12"/>
      <c r="AB540" s="12"/>
      <c r="AC540" s="12"/>
      <c r="AD540" s="17"/>
    </row>
    <row r="541" spans="2:30" s="3" customFormat="1" ht="148.5" x14ac:dyDescent="0.25">
      <c r="B541" s="9" t="s">
        <v>940</v>
      </c>
      <c r="C541" s="25" t="s">
        <v>941</v>
      </c>
      <c r="D541" s="16"/>
      <c r="E541" s="12"/>
      <c r="F541" s="12"/>
      <c r="G541" s="12" t="str">
        <f>VLOOKUP(B541,'[1]ART 3'!A:E,5,FALSE)</f>
        <v>Ex. Excepto: Dosificadores o comprobadoras que funcionen por medio de peso patrón.</v>
      </c>
      <c r="H541" s="12"/>
      <c r="I541" s="12"/>
      <c r="J541" s="12"/>
      <c r="K541" s="12"/>
      <c r="L541" s="12"/>
      <c r="M541" s="12"/>
      <c r="N541" s="12"/>
      <c r="O541" s="12" t="s">
        <v>1685</v>
      </c>
      <c r="P541" s="12"/>
      <c r="Q541" s="12"/>
      <c r="R541" s="12" t="s">
        <v>1562</v>
      </c>
      <c r="S541" s="12"/>
      <c r="T541" s="12"/>
      <c r="U541" s="12" t="s">
        <v>1562</v>
      </c>
      <c r="V541" s="12"/>
      <c r="W541" s="12"/>
      <c r="X541" s="12" t="s">
        <v>1562</v>
      </c>
      <c r="Y541" s="12"/>
      <c r="Z541" s="12"/>
      <c r="AA541" s="12"/>
      <c r="AB541" s="12"/>
      <c r="AC541" s="12" t="s">
        <v>1686</v>
      </c>
      <c r="AD541" s="17"/>
    </row>
    <row r="542" spans="2:30" s="3" customFormat="1" ht="67.5" x14ac:dyDescent="0.25">
      <c r="B542" s="9" t="s">
        <v>942</v>
      </c>
      <c r="C542" s="25" t="s">
        <v>943</v>
      </c>
      <c r="D542" s="16" t="str">
        <f>VLOOKUP(B542,'[1]ART 1'!A:E,5,FALSE)</f>
        <v>Ex.Excepto: De funcionamiento electrónico.</v>
      </c>
      <c r="E542" s="12" t="str">
        <f>VLOOKUP(B542,'[1]ART 2 A)'!A:E,5,FALSE)</f>
        <v>Ex.Excepto: De funcionamiento electrónico.</v>
      </c>
      <c r="F542" s="12"/>
      <c r="G542" s="12" t="str">
        <f>VLOOKUP(B542,'[1]ART 3'!A:E,5,FALSE)</f>
        <v>Ex. Excepto: De funcionamiento electrónico.</v>
      </c>
      <c r="H542" s="12" t="str">
        <f>VLOOKUP(B542,'[1]ART IV'!A:E,5,FALSE)</f>
        <v xml:space="preserve">Ex. Excepto: De funcionamiento electrónico. </v>
      </c>
      <c r="I542" s="12"/>
      <c r="J542" s="12"/>
      <c r="K542" s="12"/>
      <c r="L542" s="12"/>
      <c r="M542" s="12"/>
      <c r="N542" s="12" t="s">
        <v>1687</v>
      </c>
      <c r="O542" s="12" t="s">
        <v>1687</v>
      </c>
      <c r="P542" s="12"/>
      <c r="Q542" s="12"/>
      <c r="R542" s="12"/>
      <c r="S542" s="12"/>
      <c r="T542" s="12"/>
      <c r="U542" s="12"/>
      <c r="V542" s="12"/>
      <c r="W542" s="12"/>
      <c r="X542" s="12" t="s">
        <v>1687</v>
      </c>
      <c r="Y542" s="12"/>
      <c r="Z542" s="12"/>
      <c r="AA542" s="12"/>
      <c r="AB542" s="12"/>
      <c r="AC542" s="12" t="s">
        <v>1687</v>
      </c>
      <c r="AD542" s="17"/>
    </row>
    <row r="543" spans="2:30" s="3" customFormat="1" ht="67.5" x14ac:dyDescent="0.25">
      <c r="B543" s="9" t="s">
        <v>944</v>
      </c>
      <c r="C543" s="25" t="s">
        <v>945</v>
      </c>
      <c r="D543" s="16"/>
      <c r="E543" s="12" t="str">
        <f>VLOOKUP(B543,'[1]ART 2 A)'!A:E,5,FALSE)</f>
        <v>Ex.Excepto: De funcionamiento electrónico.</v>
      </c>
      <c r="F543" s="12"/>
      <c r="G543" s="12" t="str">
        <f>VLOOKUP(B543,'[1]ART 3'!A:E,5,FALSE)</f>
        <v>Ex. Excepto: De funcionamiento electrónico.</v>
      </c>
      <c r="H543" s="12" t="str">
        <f>VLOOKUP(B543,'[1]ART IV'!A:E,5,FALSE)</f>
        <v xml:space="preserve">Ex. Excepto: De funcionamiento electrónico. </v>
      </c>
      <c r="I543" s="12" t="str">
        <f>VLOOKUP(B543,'[1]ART 5'!A:E,5,FALSE)</f>
        <v>5 Excepto: De funcionamiento electrónico.</v>
      </c>
      <c r="J543" s="12" t="str">
        <f>VLOOKUP(B543,'[1]ART 6'!A:E,5,FALSE)</f>
        <v>5 Excepto: De funcionamiento electrónico.</v>
      </c>
      <c r="K543" s="12" t="str">
        <f>VLOOKUP(B543,'[1]ART 7'!A:E,5,FALSE)</f>
        <v>Ex. Excepto: De funcionamiento electrónico.</v>
      </c>
      <c r="L543" s="12"/>
      <c r="M543" s="12"/>
      <c r="N543" s="12"/>
      <c r="O543" s="12" t="s">
        <v>1687</v>
      </c>
      <c r="P543" s="12" t="s">
        <v>1688</v>
      </c>
      <c r="Q543" s="12"/>
      <c r="R543" s="12" t="s">
        <v>1687</v>
      </c>
      <c r="S543" s="12"/>
      <c r="T543" s="12"/>
      <c r="U543" s="12"/>
      <c r="V543" s="12"/>
      <c r="W543" s="12"/>
      <c r="X543" s="12" t="s">
        <v>1687</v>
      </c>
      <c r="Y543" s="12"/>
      <c r="Z543" s="12"/>
      <c r="AA543" s="12"/>
      <c r="AB543" s="12"/>
      <c r="AC543" s="12"/>
      <c r="AD543" s="17"/>
    </row>
    <row r="544" spans="2:30" s="3" customFormat="1" ht="13.5" x14ac:dyDescent="0.25">
      <c r="B544" s="9" t="s">
        <v>946</v>
      </c>
      <c r="C544" s="25" t="s">
        <v>53</v>
      </c>
      <c r="D544" s="16"/>
      <c r="E544" s="12" t="str">
        <f>VLOOKUP(B544,'[1]ART 2 A)'!A:E,5,FALSE)</f>
        <v>Ex.</v>
      </c>
      <c r="F544" s="12"/>
      <c r="G544" s="12"/>
      <c r="H544" s="12"/>
      <c r="I544" s="12"/>
      <c r="J544" s="12"/>
      <c r="K544" s="12"/>
      <c r="L544" s="12"/>
      <c r="M544" s="12"/>
      <c r="N544" s="12"/>
      <c r="O544" s="12"/>
      <c r="P544" s="12"/>
      <c r="Q544" s="12" t="s">
        <v>1562</v>
      </c>
      <c r="R544" s="12"/>
      <c r="S544" s="12"/>
      <c r="T544" s="12"/>
      <c r="U544" s="12"/>
      <c r="V544" s="12"/>
      <c r="W544" s="12"/>
      <c r="X544" s="12" t="s">
        <v>1562</v>
      </c>
      <c r="Y544" s="12" t="s">
        <v>1570</v>
      </c>
      <c r="Z544" s="12"/>
      <c r="AA544" s="12"/>
      <c r="AB544" s="12"/>
      <c r="AC544" s="12"/>
      <c r="AD544" s="17"/>
    </row>
    <row r="545" spans="2:30" s="3" customFormat="1" ht="40.5" x14ac:dyDescent="0.25">
      <c r="B545" s="9" t="s">
        <v>947</v>
      </c>
      <c r="C545" s="25" t="s">
        <v>948</v>
      </c>
      <c r="D545" s="16" t="str">
        <f>VLOOKUP(B545,'[1]ART 1'!A:E,5,FALSE)</f>
        <v>Ex.</v>
      </c>
      <c r="E545" s="12" t="str">
        <f>VLOOKUP(B545,'[1]ART 2 A)'!A:E,5,FALSE)</f>
        <v>Ex.</v>
      </c>
      <c r="F545" s="12"/>
      <c r="G545" s="12" t="str">
        <f>VLOOKUP(B545,'[1]ART 3'!A:E,5,FALSE)</f>
        <v xml:space="preserve">Ex. </v>
      </c>
      <c r="H545" s="12"/>
      <c r="I545" s="12"/>
      <c r="J545" s="12" t="str">
        <f>VLOOKUP(B545,'[1]ART 6'!A:E,5,FALSE)</f>
        <v xml:space="preserve">5 </v>
      </c>
      <c r="K545" s="12"/>
      <c r="L545" s="12"/>
      <c r="M545" s="12"/>
      <c r="N545" s="12" t="s">
        <v>1562</v>
      </c>
      <c r="O545" s="12" t="s">
        <v>1562</v>
      </c>
      <c r="P545" s="12"/>
      <c r="Q545" s="12" t="s">
        <v>1562</v>
      </c>
      <c r="R545" s="12"/>
      <c r="S545" s="12"/>
      <c r="T545" s="12"/>
      <c r="U545" s="12"/>
      <c r="V545" s="12"/>
      <c r="W545" s="12"/>
      <c r="X545" s="12" t="s">
        <v>1562</v>
      </c>
      <c r="Y545" s="12"/>
      <c r="Z545" s="12"/>
      <c r="AA545" s="12"/>
      <c r="AB545" s="12"/>
      <c r="AC545" s="12"/>
      <c r="AD545" s="17"/>
    </row>
    <row r="546" spans="2:30" s="3" customFormat="1" ht="13.5" x14ac:dyDescent="0.25">
      <c r="B546" s="9" t="s">
        <v>949</v>
      </c>
      <c r="C546" s="25" t="s">
        <v>53</v>
      </c>
      <c r="D546" s="16" t="str">
        <f>VLOOKUP(B546,'[1]ART 1'!A:E,5,FALSE)</f>
        <v>5</v>
      </c>
      <c r="E546" s="12" t="str">
        <f>VLOOKUP(B546,'[1]ART 2 A)'!A:E,5,FALSE)</f>
        <v>Ex.</v>
      </c>
      <c r="F546" s="12"/>
      <c r="G546" s="12" t="str">
        <f>VLOOKUP(B546,'[1]ART 3'!A:E,5,FALSE)</f>
        <v xml:space="preserve">Ex. </v>
      </c>
      <c r="H546" s="12"/>
      <c r="I546" s="12"/>
      <c r="J546" s="12" t="str">
        <f>VLOOKUP(B546,'[1]ART 6'!A:E,5,FALSE)</f>
        <v xml:space="preserve">5 </v>
      </c>
      <c r="K546" s="12"/>
      <c r="L546" s="12"/>
      <c r="M546" s="12"/>
      <c r="N546" s="12"/>
      <c r="O546" s="12"/>
      <c r="P546" s="12"/>
      <c r="Q546" s="12" t="s">
        <v>1570</v>
      </c>
      <c r="R546" s="12" t="s">
        <v>1570</v>
      </c>
      <c r="S546" s="12"/>
      <c r="T546" s="12"/>
      <c r="U546" s="12"/>
      <c r="V546" s="12"/>
      <c r="W546" s="12"/>
      <c r="X546" s="12" t="s">
        <v>1562</v>
      </c>
      <c r="Y546" s="12"/>
      <c r="Z546" s="12"/>
      <c r="AA546" s="12"/>
      <c r="AB546" s="12"/>
      <c r="AC546" s="12"/>
      <c r="AD546" s="17"/>
    </row>
    <row r="547" spans="2:30" s="3" customFormat="1" ht="13.5" x14ac:dyDescent="0.25">
      <c r="B547" s="9" t="s">
        <v>950</v>
      </c>
      <c r="C547" s="25" t="s">
        <v>53</v>
      </c>
      <c r="D547" s="16" t="str">
        <f>VLOOKUP(B547,'[1]ART 1'!A:E,5,FALSE)</f>
        <v>5</v>
      </c>
      <c r="E547" s="12" t="str">
        <f>VLOOKUP(B547,'[1]ART 2 A)'!A:E,5,FALSE)</f>
        <v>Ex.</v>
      </c>
      <c r="F547" s="12"/>
      <c r="G547" s="12" t="str">
        <f>VLOOKUP(B547,'[1]ART 3'!A:E,5,FALSE)</f>
        <v xml:space="preserve">Ex. </v>
      </c>
      <c r="H547" s="12"/>
      <c r="I547" s="12"/>
      <c r="J547" s="12" t="str">
        <f>VLOOKUP(B547,'[1]ART 6'!A:E,5,FALSE)</f>
        <v xml:space="preserve">5 </v>
      </c>
      <c r="K547" s="12" t="str">
        <f>VLOOKUP(B547,'[1]ART 7'!A:E,5,FALSE)</f>
        <v xml:space="preserve">Ex. </v>
      </c>
      <c r="L547" s="12"/>
      <c r="M547" s="12"/>
      <c r="N547" s="12"/>
      <c r="O547" s="12"/>
      <c r="P547" s="12"/>
      <c r="Q547" s="12" t="s">
        <v>1562</v>
      </c>
      <c r="R547" s="12"/>
      <c r="S547" s="12"/>
      <c r="T547" s="12"/>
      <c r="U547" s="12"/>
      <c r="V547" s="12"/>
      <c r="W547" s="12"/>
      <c r="X547" s="12" t="s">
        <v>1562</v>
      </c>
      <c r="Y547" s="12"/>
      <c r="Z547" s="12"/>
      <c r="AA547" s="12"/>
      <c r="AB547" s="12"/>
      <c r="AC547" s="12"/>
      <c r="AD547" s="17"/>
    </row>
    <row r="548" spans="2:30" s="3" customFormat="1" ht="13.5" x14ac:dyDescent="0.25">
      <c r="B548" s="9" t="s">
        <v>951</v>
      </c>
      <c r="C548" s="25" t="s">
        <v>952</v>
      </c>
      <c r="D548" s="16" t="str">
        <f>VLOOKUP(B548,'[1]ART 1'!A:E,5,FALSE)</f>
        <v>5</v>
      </c>
      <c r="E548" s="12" t="str">
        <f>VLOOKUP(B548,'[1]ART 2 A)'!A:E,5,FALSE)</f>
        <v>Ex.</v>
      </c>
      <c r="F548" s="12"/>
      <c r="G548" s="12" t="str">
        <f>VLOOKUP(B548,'[1]ART 3'!A:E,5,FALSE)</f>
        <v xml:space="preserve">Ex. </v>
      </c>
      <c r="H548" s="12" t="str">
        <f>VLOOKUP(B548,'[1]ART IV'!A:E,5,FALSE)</f>
        <v xml:space="preserve">Ex. </v>
      </c>
      <c r="I548" s="12"/>
      <c r="J548" s="12"/>
      <c r="K548" s="12" t="str">
        <f>VLOOKUP(B548,'[1]ART 7'!A:E,5,FALSE)</f>
        <v xml:space="preserve">Ex. </v>
      </c>
      <c r="L548" s="12"/>
      <c r="M548" s="12"/>
      <c r="N548" s="12"/>
      <c r="O548" s="12"/>
      <c r="P548" s="12"/>
      <c r="Q548" s="12"/>
      <c r="R548" s="12"/>
      <c r="S548" s="12"/>
      <c r="T548" s="12"/>
      <c r="U548" s="12"/>
      <c r="V548" s="12"/>
      <c r="W548" s="12"/>
      <c r="X548" s="12" t="s">
        <v>1562</v>
      </c>
      <c r="Y548" s="12"/>
      <c r="Z548" s="12"/>
      <c r="AA548" s="12"/>
      <c r="AB548" s="12"/>
      <c r="AC548" s="12"/>
      <c r="AD548" s="17"/>
    </row>
    <row r="549" spans="2:30" s="3" customFormat="1" ht="13.5" x14ac:dyDescent="0.25">
      <c r="B549" s="9" t="s">
        <v>953</v>
      </c>
      <c r="C549" s="25" t="s">
        <v>53</v>
      </c>
      <c r="D549" s="16" t="str">
        <f>VLOOKUP(B549,'[1]ART 1'!A:E,5,FALSE)</f>
        <v>5</v>
      </c>
      <c r="E549" s="12" t="str">
        <f>VLOOKUP(B549,'[1]ART 2 A)'!A:E,5,FALSE)</f>
        <v>Ex.</v>
      </c>
      <c r="F549" s="12"/>
      <c r="G549" s="12" t="str">
        <f>VLOOKUP(B549,'[1]ART 3'!A:E,5,FALSE)</f>
        <v xml:space="preserve">Ex. </v>
      </c>
      <c r="H549" s="12"/>
      <c r="I549" s="12"/>
      <c r="J549" s="12"/>
      <c r="K549" s="12"/>
      <c r="L549" s="12"/>
      <c r="M549" s="12"/>
      <c r="N549" s="12"/>
      <c r="O549" s="12"/>
      <c r="P549" s="12"/>
      <c r="Q549" s="12" t="s">
        <v>1562</v>
      </c>
      <c r="R549" s="12"/>
      <c r="S549" s="12"/>
      <c r="T549" s="12"/>
      <c r="U549" s="12"/>
      <c r="V549" s="12"/>
      <c r="W549" s="12"/>
      <c r="X549" s="12" t="s">
        <v>1562</v>
      </c>
      <c r="Y549" s="12"/>
      <c r="Z549" s="12"/>
      <c r="AA549" s="12"/>
      <c r="AB549" s="12"/>
      <c r="AC549" s="12" t="s">
        <v>1562</v>
      </c>
      <c r="AD549" s="17"/>
    </row>
    <row r="550" spans="2:30" s="3" customFormat="1" ht="40.5" x14ac:dyDescent="0.25">
      <c r="B550" s="9" t="s">
        <v>954</v>
      </c>
      <c r="C550" s="25" t="s">
        <v>955</v>
      </c>
      <c r="D550" s="16"/>
      <c r="E550" s="12"/>
      <c r="F550" s="12"/>
      <c r="G550" s="12"/>
      <c r="H550" s="12"/>
      <c r="I550" s="12"/>
      <c r="J550" s="12"/>
      <c r="K550" s="12"/>
      <c r="L550" s="12"/>
      <c r="M550" s="12"/>
      <c r="N550" s="12"/>
      <c r="O550" s="12"/>
      <c r="P550" s="12"/>
      <c r="Q550" s="12"/>
      <c r="R550" s="12"/>
      <c r="S550" s="12"/>
      <c r="T550" s="12"/>
      <c r="U550" s="12"/>
      <c r="V550" s="12"/>
      <c r="W550" s="12"/>
      <c r="X550" s="12" t="s">
        <v>1562</v>
      </c>
      <c r="Y550" s="12"/>
      <c r="Z550" s="12"/>
      <c r="AA550" s="12"/>
      <c r="AB550" s="12"/>
      <c r="AC550" s="12"/>
      <c r="AD550" s="17"/>
    </row>
    <row r="551" spans="2:30" s="3" customFormat="1" ht="67.5" x14ac:dyDescent="0.25">
      <c r="B551" s="9" t="s">
        <v>956</v>
      </c>
      <c r="C551" s="25" t="s">
        <v>957</v>
      </c>
      <c r="D551" s="16" t="str">
        <f>VLOOKUP(B551,'[1]ART 1'!A:E,5,FALSE)</f>
        <v>5</v>
      </c>
      <c r="E551" s="12" t="str">
        <f>VLOOKUP(B551,'[1]ART 2 A)'!A:E,5,FALSE)</f>
        <v>Ex.</v>
      </c>
      <c r="F551" s="12"/>
      <c r="G551" s="12"/>
      <c r="H551" s="12"/>
      <c r="I551" s="12"/>
      <c r="J551" s="12"/>
      <c r="K551" s="12"/>
      <c r="L551" s="12"/>
      <c r="M551" s="12"/>
      <c r="N551" s="12"/>
      <c r="O551" s="12"/>
      <c r="P551" s="12"/>
      <c r="Q551" s="12"/>
      <c r="R551" s="12"/>
      <c r="S551" s="12"/>
      <c r="T551" s="12"/>
      <c r="U551" s="12"/>
      <c r="V551" s="12"/>
      <c r="W551" s="12"/>
      <c r="X551" s="12" t="s">
        <v>1562</v>
      </c>
      <c r="Y551" s="12"/>
      <c r="Z551" s="12"/>
      <c r="AA551" s="12"/>
      <c r="AB551" s="12"/>
      <c r="AC551" s="12"/>
      <c r="AD551" s="17"/>
    </row>
    <row r="552" spans="2:30" s="3" customFormat="1" ht="54" x14ac:dyDescent="0.25">
      <c r="B552" s="9" t="s">
        <v>958</v>
      </c>
      <c r="C552" s="25" t="s">
        <v>959</v>
      </c>
      <c r="D552" s="16" t="str">
        <f>VLOOKUP(B552,'[1]ART 1'!A:E,5,FALSE)</f>
        <v>5</v>
      </c>
      <c r="E552" s="12"/>
      <c r="F552" s="12"/>
      <c r="G552" s="12"/>
      <c r="H552" s="12"/>
      <c r="I552" s="12"/>
      <c r="J552" s="12"/>
      <c r="K552" s="12"/>
      <c r="L552" s="12"/>
      <c r="M552" s="12"/>
      <c r="N552" s="12"/>
      <c r="O552" s="12"/>
      <c r="P552" s="12"/>
      <c r="Q552" s="12"/>
      <c r="R552" s="12"/>
      <c r="S552" s="12"/>
      <c r="T552" s="12"/>
      <c r="U552" s="12"/>
      <c r="V552" s="12"/>
      <c r="W552" s="12"/>
      <c r="X552" s="12" t="s">
        <v>1562</v>
      </c>
      <c r="Y552" s="12"/>
      <c r="Z552" s="12"/>
      <c r="AA552" s="12"/>
      <c r="AB552" s="12"/>
      <c r="AC552" s="12"/>
      <c r="AD552" s="17"/>
    </row>
    <row r="553" spans="2:30" s="3" customFormat="1" ht="13.5" x14ac:dyDescent="0.25">
      <c r="B553" s="9" t="s">
        <v>960</v>
      </c>
      <c r="C553" s="25" t="s">
        <v>53</v>
      </c>
      <c r="D553" s="16" t="str">
        <f>VLOOKUP(B553,'[1]ART 1'!A:E,5,FALSE)</f>
        <v>5</v>
      </c>
      <c r="E553" s="12" t="str">
        <f>VLOOKUP(B553,'[1]ART 2 A)'!A:E,5,FALSE)</f>
        <v>Ex.</v>
      </c>
      <c r="F553" s="12"/>
      <c r="G553" s="12" t="str">
        <f>VLOOKUP(B553,'[1]ART 3'!A:E,5,FALSE)</f>
        <v xml:space="preserve">Ex. </v>
      </c>
      <c r="H553" s="12"/>
      <c r="I553" s="12"/>
      <c r="J553" s="12"/>
      <c r="K553" s="12"/>
      <c r="L553" s="12"/>
      <c r="M553" s="12"/>
      <c r="N553" s="12"/>
      <c r="O553" s="12"/>
      <c r="P553" s="12"/>
      <c r="Q553" s="12"/>
      <c r="R553" s="12"/>
      <c r="S553" s="12"/>
      <c r="T553" s="12"/>
      <c r="U553" s="12"/>
      <c r="V553" s="12"/>
      <c r="W553" s="12"/>
      <c r="X553" s="12" t="s">
        <v>1562</v>
      </c>
      <c r="Y553" s="12"/>
      <c r="Z553" s="12"/>
      <c r="AA553" s="12"/>
      <c r="AB553" s="12"/>
      <c r="AC553" s="12"/>
      <c r="AD553" s="17"/>
    </row>
    <row r="554" spans="2:30" s="3" customFormat="1" ht="54" x14ac:dyDescent="0.25">
      <c r="B554" s="9" t="s">
        <v>961</v>
      </c>
      <c r="C554" s="25" t="s">
        <v>962</v>
      </c>
      <c r="D554" s="16" t="str">
        <f>VLOOKUP(B554,'[1]ART 1'!A:E,5,FALSE)</f>
        <v>5</v>
      </c>
      <c r="E554" s="12" t="str">
        <f>VLOOKUP(B554,'[1]ART 2 A)'!A:E,5,FALSE)</f>
        <v>Ex.</v>
      </c>
      <c r="F554" s="12"/>
      <c r="G554" s="12" t="str">
        <f>VLOOKUP(B554,'[1]ART 3'!A:E,5,FALSE)</f>
        <v xml:space="preserve">Ex. </v>
      </c>
      <c r="H554" s="12" t="str">
        <f>VLOOKUP(B554,'[1]ART IV'!A:E,5,FALSE)</f>
        <v xml:space="preserve">Ex. </v>
      </c>
      <c r="I554" s="12"/>
      <c r="J554" s="12" t="str">
        <f>VLOOKUP(B554,'[1]ART 6'!A:E,5,FALSE)</f>
        <v xml:space="preserve">5 </v>
      </c>
      <c r="K554" s="12"/>
      <c r="L554" s="12"/>
      <c r="M554" s="12"/>
      <c r="N554" s="12"/>
      <c r="O554" s="12"/>
      <c r="P554" s="12"/>
      <c r="Q554" s="12"/>
      <c r="R554" s="12"/>
      <c r="S554" s="12"/>
      <c r="T554" s="12"/>
      <c r="U554" s="12"/>
      <c r="V554" s="12"/>
      <c r="W554" s="12"/>
      <c r="X554" s="12" t="s">
        <v>1562</v>
      </c>
      <c r="Y554" s="12"/>
      <c r="Z554" s="12"/>
      <c r="AA554" s="12"/>
      <c r="AB554" s="12"/>
      <c r="AC554" s="12"/>
      <c r="AD554" s="17"/>
    </row>
    <row r="555" spans="2:30" s="3" customFormat="1" ht="94.5" x14ac:dyDescent="0.25">
      <c r="B555" s="9" t="s">
        <v>963</v>
      </c>
      <c r="C555" s="25" t="s">
        <v>964</v>
      </c>
      <c r="D555" s="16" t="str">
        <f>VLOOKUP(B555,'[1]ART 1'!A:E,5,FALSE)</f>
        <v>5</v>
      </c>
      <c r="E555" s="12" t="str">
        <f>VLOOKUP(B555,'[1]ART 2 A)'!A:E,5,FALSE)</f>
        <v>Ex.</v>
      </c>
      <c r="F555" s="12"/>
      <c r="G555" s="12" t="str">
        <f>VLOOKUP(B555,'[1]ART 3'!A:E,5,FALSE)</f>
        <v xml:space="preserve">Ex. </v>
      </c>
      <c r="H555" s="12" t="str">
        <f>VLOOKUP(B555,'[1]ART IV'!A:E,5,FALSE)</f>
        <v xml:space="preserve">Ex. </v>
      </c>
      <c r="I555" s="12" t="str">
        <f>VLOOKUP(B555,'[1]ART 5'!A:E,5,FALSE)</f>
        <v xml:space="preserve">5 </v>
      </c>
      <c r="J555" s="12" t="str">
        <f>VLOOKUP(B555,'[1]ART 6'!A:E,5,FALSE)</f>
        <v xml:space="preserve">5 </v>
      </c>
      <c r="K555" s="12"/>
      <c r="L555" s="12"/>
      <c r="M555" s="12"/>
      <c r="N555" s="12"/>
      <c r="O555" s="12"/>
      <c r="P555" s="12"/>
      <c r="Q555" s="12"/>
      <c r="R555" s="12" t="s">
        <v>1570</v>
      </c>
      <c r="S555" s="12"/>
      <c r="T555" s="12"/>
      <c r="U555" s="12"/>
      <c r="V555" s="12"/>
      <c r="W555" s="12"/>
      <c r="X555" s="12" t="s">
        <v>1562</v>
      </c>
      <c r="Y555" s="12" t="s">
        <v>1570</v>
      </c>
      <c r="Z555" s="12"/>
      <c r="AA555" s="12"/>
      <c r="AB555" s="12"/>
      <c r="AC555" s="12"/>
      <c r="AD555" s="17"/>
    </row>
    <row r="556" spans="2:30" s="3" customFormat="1" ht="81" x14ac:dyDescent="0.25">
      <c r="B556" s="9" t="s">
        <v>965</v>
      </c>
      <c r="C556" s="25" t="s">
        <v>966</v>
      </c>
      <c r="D556" s="16" t="str">
        <f>VLOOKUP(B556,'[1]ART 1'!A:E,5,FALSE)</f>
        <v>5</v>
      </c>
      <c r="E556" s="12" t="str">
        <f>VLOOKUP(B556,'[1]ART 2 A)'!A:E,5,FALSE)</f>
        <v>Ex.</v>
      </c>
      <c r="F556" s="12"/>
      <c r="G556" s="12" t="str">
        <f>VLOOKUP(B556,'[1]ART 3'!A:E,5,FALSE)</f>
        <v xml:space="preserve">Ex. </v>
      </c>
      <c r="H556" s="12" t="str">
        <f>VLOOKUP(B556,'[1]ART IV'!A:E,5,FALSE)</f>
        <v xml:space="preserve">Ex. </v>
      </c>
      <c r="I556" s="12"/>
      <c r="J556" s="12" t="str">
        <f>VLOOKUP(B556,'[1]ART 6'!A:E,5,FALSE)</f>
        <v xml:space="preserve">5 </v>
      </c>
      <c r="K556" s="12"/>
      <c r="L556" s="12"/>
      <c r="M556" s="12"/>
      <c r="N556" s="12" t="s">
        <v>1562</v>
      </c>
      <c r="O556" s="12"/>
      <c r="P556" s="12"/>
      <c r="Q556" s="12"/>
      <c r="R556" s="12"/>
      <c r="S556" s="12"/>
      <c r="T556" s="12"/>
      <c r="U556" s="12"/>
      <c r="V556" s="12"/>
      <c r="W556" s="12"/>
      <c r="X556" s="12" t="s">
        <v>1562</v>
      </c>
      <c r="Y556" s="12"/>
      <c r="Z556" s="12"/>
      <c r="AA556" s="12"/>
      <c r="AB556" s="12"/>
      <c r="AC556" s="12"/>
      <c r="AD556" s="17"/>
    </row>
    <row r="557" spans="2:30" s="3" customFormat="1" ht="175.5" x14ac:dyDescent="0.25">
      <c r="B557" s="9" t="s">
        <v>967</v>
      </c>
      <c r="C557" s="25" t="s">
        <v>968</v>
      </c>
      <c r="D557" s="16" t="str">
        <f>VLOOKUP(B557,'[1]ART 1'!A:E,5,FALSE)</f>
        <v>5Excepto: Carros de transferencia (plataforma móvil o cambiador para los recolectores o apiladores de minerales.</v>
      </c>
      <c r="E557" s="12" t="str">
        <f>VLOOKUP(B557,'[1]ART 2 A)'!A:E,5,FALSE)</f>
        <v>Ex.Excepto: Carros de transferencia (plataforma móvil o cambiador para los recolectores o apiladores de minerales).</v>
      </c>
      <c r="F557" s="12"/>
      <c r="G557" s="12" t="str">
        <f>VLOOKUP(B557,'[1]ART 3'!A:E,5,FALSE)</f>
        <v>Ex. Excepto: Carros de transferencia (plataforma móvil o cambiador para los recolectores o apiladores de minerales).</v>
      </c>
      <c r="H557" s="12"/>
      <c r="I557" s="12" t="str">
        <f>VLOOKUP(B557,'[1]ART 5'!A:E,5,FALSE)</f>
        <v>5 Excepto: Carros de transferencia (plataforma móvil o cambiador para los recolectores o apiladores de minerales).</v>
      </c>
      <c r="J557" s="12" t="str">
        <f>VLOOKUP(B557,'[1]ART 6'!A:E,5,FALSE)</f>
        <v>5 Excepto: Carros de transferencia (plataforma móvil o cambiador para los recolectores o apiladores de minerales).</v>
      </c>
      <c r="K557" s="12"/>
      <c r="L557" s="12"/>
      <c r="M557" s="12"/>
      <c r="N557" s="12"/>
      <c r="O557" s="12"/>
      <c r="P557" s="12"/>
      <c r="Q557" s="12"/>
      <c r="R557" s="12"/>
      <c r="S557" s="12"/>
      <c r="T557" s="12"/>
      <c r="U557" s="12"/>
      <c r="V557" s="12"/>
      <c r="W557" s="12"/>
      <c r="X557" s="12" t="s">
        <v>1689</v>
      </c>
      <c r="Y557" s="12" t="s">
        <v>1690</v>
      </c>
      <c r="Z557" s="12"/>
      <c r="AA557" s="12"/>
      <c r="AB557" s="12"/>
      <c r="AC557" s="12"/>
      <c r="AD557" s="17"/>
    </row>
    <row r="558" spans="2:30" s="3" customFormat="1" ht="13.5" x14ac:dyDescent="0.25">
      <c r="B558" s="9" t="s">
        <v>969</v>
      </c>
      <c r="C558" s="25" t="s">
        <v>970</v>
      </c>
      <c r="D558" s="16"/>
      <c r="E558" s="12" t="str">
        <f>VLOOKUP(B558,'[1]ART 2 A)'!A:E,5,FALSE)</f>
        <v>Ex.</v>
      </c>
      <c r="F558" s="12"/>
      <c r="G558" s="12"/>
      <c r="H558" s="12" t="str">
        <f>VLOOKUP(B558,'[1]ART IV'!A:E,5,FALSE)</f>
        <v xml:space="preserve">Ex. </v>
      </c>
      <c r="I558" s="12"/>
      <c r="J558" s="12"/>
      <c r="K558" s="12"/>
      <c r="L558" s="12"/>
      <c r="M558" s="12"/>
      <c r="N558" s="12"/>
      <c r="O558" s="12"/>
      <c r="P558" s="12"/>
      <c r="Q558" s="12"/>
      <c r="R558" s="12" t="s">
        <v>1570</v>
      </c>
      <c r="S558" s="12"/>
      <c r="T558" s="12"/>
      <c r="U558" s="12"/>
      <c r="V558" s="12"/>
      <c r="W558" s="12"/>
      <c r="X558" s="12"/>
      <c r="Y558" s="12" t="s">
        <v>1570</v>
      </c>
      <c r="Z558" s="12"/>
      <c r="AA558" s="12"/>
      <c r="AB558" s="12"/>
      <c r="AC558" s="12"/>
      <c r="AD558" s="17"/>
    </row>
    <row r="559" spans="2:30" s="3" customFormat="1" ht="81" x14ac:dyDescent="0.25">
      <c r="B559" s="9" t="s">
        <v>971</v>
      </c>
      <c r="C559" s="25" t="s">
        <v>972</v>
      </c>
      <c r="D559" s="16"/>
      <c r="E559" s="12" t="str">
        <f>VLOOKUP(B559,'[1]ART 2 A)'!A:E,5,FALSE)</f>
        <v>Ex.Excepto: Escaleras móviles incluso montadas sobre ruedas.</v>
      </c>
      <c r="F559" s="12"/>
      <c r="G559" s="12"/>
      <c r="H559" s="12" t="str">
        <f>VLOOKUP(B559,'[1]ART IV'!A:E,5,FALSE)</f>
        <v xml:space="preserve">Ex. Excepto: Escaleras móviles incluso montadas sobre ruedas. </v>
      </c>
      <c r="I559" s="12"/>
      <c r="J559" s="12"/>
      <c r="K559" s="12"/>
      <c r="L559" s="12"/>
      <c r="M559" s="12"/>
      <c r="N559" s="12"/>
      <c r="O559" s="12"/>
      <c r="P559" s="12"/>
      <c r="Q559" s="12"/>
      <c r="R559" s="12"/>
      <c r="S559" s="12"/>
      <c r="T559" s="12"/>
      <c r="U559" s="12"/>
      <c r="V559" s="12"/>
      <c r="W559" s="12"/>
      <c r="X559" s="12"/>
      <c r="Y559" s="12"/>
      <c r="Z559" s="12"/>
      <c r="AA559" s="12"/>
      <c r="AB559" s="12"/>
      <c r="AC559" s="12"/>
      <c r="AD559" s="17"/>
    </row>
    <row r="560" spans="2:30" s="3" customFormat="1" ht="13.5" x14ac:dyDescent="0.25">
      <c r="B560" s="9" t="s">
        <v>973</v>
      </c>
      <c r="C560" s="25" t="s">
        <v>974</v>
      </c>
      <c r="D560" s="16" t="str">
        <f>VLOOKUP(B560,'[1]ART 1'!A:E,5,FALSE)</f>
        <v>5</v>
      </c>
      <c r="E560" s="12" t="str">
        <f>VLOOKUP(B560,'[1]ART 2 A)'!A:E,5,FALSE)</f>
        <v>Ex.</v>
      </c>
      <c r="F560" s="12"/>
      <c r="G560" s="12" t="str">
        <f>VLOOKUP(B560,'[1]ART 3'!A:E,5,FALSE)</f>
        <v xml:space="preserve">Ex. </v>
      </c>
      <c r="H560" s="12" t="str">
        <f>VLOOKUP(B560,'[1]ART IV'!A:E,5,FALSE)</f>
        <v xml:space="preserve">Ex. </v>
      </c>
      <c r="I560" s="12"/>
      <c r="J560" s="12"/>
      <c r="K560" s="12" t="str">
        <f>VLOOKUP(B560,'[1]ART 7'!A:E,5,FALSE)</f>
        <v xml:space="preserve">5 </v>
      </c>
      <c r="L560" s="12"/>
      <c r="M560" s="12"/>
      <c r="N560" s="12" t="s">
        <v>1570</v>
      </c>
      <c r="O560" s="12" t="s">
        <v>1562</v>
      </c>
      <c r="P560" s="12"/>
      <c r="Q560" s="12" t="s">
        <v>1570</v>
      </c>
      <c r="R560" s="12"/>
      <c r="S560" s="12"/>
      <c r="T560" s="12"/>
      <c r="U560" s="12"/>
      <c r="V560" s="12"/>
      <c r="W560" s="12"/>
      <c r="X560" s="12" t="s">
        <v>1562</v>
      </c>
      <c r="Y560" s="12" t="s">
        <v>1570</v>
      </c>
      <c r="Z560" s="12"/>
      <c r="AA560" s="12"/>
      <c r="AB560" s="12"/>
      <c r="AC560" s="12"/>
      <c r="AD560" s="17"/>
    </row>
    <row r="561" spans="2:30" s="3" customFormat="1" ht="243" x14ac:dyDescent="0.25">
      <c r="B561" s="9" t="s">
        <v>975</v>
      </c>
      <c r="C561" s="25" t="s">
        <v>976</v>
      </c>
      <c r="D561" s="16" t="str">
        <f>VLOOKUP(B561,'[1]ART 1'!A:E,5,FALSE)</f>
        <v>5Excepto: Brazos de carga marinos o terrestres (garzas marinas o terrestres), reconocibles para la carga o descarga de petróleo o sus derivados en navíos o carros tanque.</v>
      </c>
      <c r="E561" s="12" t="str">
        <f>VLOOKUP(B561,'[1]ART 2 A)'!A:E,5,FALSE)</f>
        <v>Ex.Excepto: Brazos de carga marinos o terrestres (garzas marinas o terrestres), reconocibles para la carga o descarga de petróleo o sus derivados en navíos o carros tanque.</v>
      </c>
      <c r="F561" s="12"/>
      <c r="G561" s="12" t="str">
        <f>VLOOKUP(B561,'[1]ART 3'!A:E,5,FALSE)</f>
        <v>Ex. Excepto: Brazos de carga marinos o terrestres (garzas marinas o terrestres), reconocibles para la carga o descarga de petróleo o sus derivados en navíos o carros tanque.</v>
      </c>
      <c r="H561" s="12" t="str">
        <f>VLOOKUP(B561,'[1]ART IV'!A:E,5,FALSE)</f>
        <v xml:space="preserve">Ex. Excepto: Brazos de carga marinos o terrestres (garzas marinas o terrestres), reconocibles para la carga o descarga de petróleo o sus derivados en navíos o carros tanque. </v>
      </c>
      <c r="I561" s="12"/>
      <c r="J561" s="12"/>
      <c r="K561" s="12" t="str">
        <f>VLOOKUP(B561,'[1]ART 7'!A:E,5,FALSE)</f>
        <v>5 Excepto: Brazos de carga marinos o terrestres (garzas marinas o terrestres), reconocibles para la carga o descarga de petróleo o sus derivados en navíos o carros tanque.</v>
      </c>
      <c r="L561" s="12"/>
      <c r="M561" s="12"/>
      <c r="N561" s="12" t="s">
        <v>1691</v>
      </c>
      <c r="O561" s="12" t="s">
        <v>1692</v>
      </c>
      <c r="P561" s="12"/>
      <c r="Q561" s="12" t="s">
        <v>1691</v>
      </c>
      <c r="R561" s="12"/>
      <c r="S561" s="12"/>
      <c r="T561" s="12"/>
      <c r="U561" s="12"/>
      <c r="V561" s="12"/>
      <c r="W561" s="12"/>
      <c r="X561" s="12" t="s">
        <v>1692</v>
      </c>
      <c r="Y561" s="12" t="s">
        <v>1691</v>
      </c>
      <c r="Z561" s="12"/>
      <c r="AA561" s="12"/>
      <c r="AB561" s="12"/>
      <c r="AC561" s="12"/>
      <c r="AD561" s="17"/>
    </row>
    <row r="562" spans="2:30" s="3" customFormat="1" ht="13.5" x14ac:dyDescent="0.25">
      <c r="B562" s="9" t="s">
        <v>977</v>
      </c>
      <c r="C562" s="25" t="s">
        <v>978</v>
      </c>
      <c r="D562" s="16"/>
      <c r="E562" s="12"/>
      <c r="F562" s="12"/>
      <c r="G562" s="12"/>
      <c r="H562" s="12"/>
      <c r="I562" s="12"/>
      <c r="J562" s="12" t="str">
        <f>VLOOKUP(B562,'[1]ART 6'!A:E,5,FALSE)</f>
        <v xml:space="preserve">5 </v>
      </c>
      <c r="K562" s="12"/>
      <c r="L562" s="12"/>
      <c r="M562" s="12"/>
      <c r="N562" s="12"/>
      <c r="O562" s="12"/>
      <c r="P562" s="12"/>
      <c r="Q562" s="12"/>
      <c r="R562" s="12"/>
      <c r="S562" s="12"/>
      <c r="T562" s="12"/>
      <c r="U562" s="12"/>
      <c r="V562" s="12"/>
      <c r="W562" s="12"/>
      <c r="X562" s="12"/>
      <c r="Y562" s="12"/>
      <c r="Z562" s="12"/>
      <c r="AA562" s="12"/>
      <c r="AB562" s="12"/>
      <c r="AC562" s="12"/>
      <c r="AD562" s="17"/>
    </row>
    <row r="563" spans="2:30" s="3" customFormat="1" ht="13.5" x14ac:dyDescent="0.25">
      <c r="B563" s="9" t="s">
        <v>979</v>
      </c>
      <c r="C563" s="25" t="s">
        <v>53</v>
      </c>
      <c r="D563" s="16"/>
      <c r="E563" s="12"/>
      <c r="F563" s="12"/>
      <c r="G563" s="12"/>
      <c r="H563" s="12"/>
      <c r="I563" s="12"/>
      <c r="J563" s="12" t="str">
        <f>VLOOKUP(B563,'[1]ART 6'!A:E,5,FALSE)</f>
        <v xml:space="preserve">5 </v>
      </c>
      <c r="K563" s="12"/>
      <c r="L563" s="12"/>
      <c r="M563" s="12"/>
      <c r="N563" s="12"/>
      <c r="O563" s="12"/>
      <c r="P563" s="12"/>
      <c r="Q563" s="12"/>
      <c r="R563" s="12"/>
      <c r="S563" s="12"/>
      <c r="T563" s="12"/>
      <c r="U563" s="12"/>
      <c r="V563" s="12"/>
      <c r="W563" s="12"/>
      <c r="X563" s="12"/>
      <c r="Y563" s="12"/>
      <c r="Z563" s="12"/>
      <c r="AA563" s="12"/>
      <c r="AB563" s="12"/>
      <c r="AC563" s="12"/>
      <c r="AD563" s="17"/>
    </row>
    <row r="564" spans="2:30" s="3" customFormat="1" ht="40.5" x14ac:dyDescent="0.25">
      <c r="B564" s="9" t="s">
        <v>980</v>
      </c>
      <c r="C564" s="25" t="s">
        <v>981</v>
      </c>
      <c r="D564" s="16"/>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7" t="s">
        <v>1562</v>
      </c>
    </row>
    <row r="565" spans="2:30" s="3" customFormat="1" ht="13.5" x14ac:dyDescent="0.25">
      <c r="B565" s="9" t="s">
        <v>982</v>
      </c>
      <c r="C565" s="25" t="s">
        <v>983</v>
      </c>
      <c r="D565" s="16"/>
      <c r="E565" s="12"/>
      <c r="F565" s="12"/>
      <c r="G565" s="12"/>
      <c r="H565" s="12"/>
      <c r="I565" s="12"/>
      <c r="J565" s="12"/>
      <c r="K565" s="12"/>
      <c r="L565" s="12"/>
      <c r="M565" s="12"/>
      <c r="N565" s="12"/>
      <c r="O565" s="12"/>
      <c r="P565" s="12"/>
      <c r="Q565" s="12"/>
      <c r="R565" s="12"/>
      <c r="S565" s="12"/>
      <c r="T565" s="12"/>
      <c r="U565" s="12" t="s">
        <v>1562</v>
      </c>
      <c r="V565" s="12"/>
      <c r="W565" s="12"/>
      <c r="X565" s="12"/>
      <c r="Y565" s="12"/>
      <c r="Z565" s="12"/>
      <c r="AA565" s="12"/>
      <c r="AB565" s="12"/>
      <c r="AC565" s="12"/>
      <c r="AD565" s="17"/>
    </row>
    <row r="566" spans="2:30" s="3" customFormat="1" ht="67.5" x14ac:dyDescent="0.25">
      <c r="B566" s="9" t="s">
        <v>984</v>
      </c>
      <c r="C566" s="25" t="s">
        <v>985</v>
      </c>
      <c r="D566" s="16"/>
      <c r="E566" s="12"/>
      <c r="F566" s="12"/>
      <c r="G566" s="12"/>
      <c r="H566" s="12"/>
      <c r="I566" s="12"/>
      <c r="J566" s="12"/>
      <c r="K566" s="12"/>
      <c r="L566" s="12"/>
      <c r="M566" s="12"/>
      <c r="N566" s="12"/>
      <c r="O566" s="12"/>
      <c r="P566" s="12"/>
      <c r="Q566" s="12"/>
      <c r="R566" s="12"/>
      <c r="S566" s="12"/>
      <c r="T566" s="12"/>
      <c r="U566" s="12"/>
      <c r="V566" s="12"/>
      <c r="W566" s="12"/>
      <c r="X566" s="12" t="s">
        <v>1562</v>
      </c>
      <c r="Y566" s="12"/>
      <c r="Z566" s="12"/>
      <c r="AA566" s="12"/>
      <c r="AB566" s="12"/>
      <c r="AC566" s="12"/>
      <c r="AD566" s="17"/>
    </row>
    <row r="567" spans="2:30" s="3" customFormat="1" ht="13.5" x14ac:dyDescent="0.25">
      <c r="B567" s="9" t="s">
        <v>986</v>
      </c>
      <c r="C567" s="25" t="s">
        <v>987</v>
      </c>
      <c r="D567" s="16"/>
      <c r="E567" s="12" t="str">
        <f>VLOOKUP(B567,'[1]ART 2 A)'!A:E,5,FALSE)</f>
        <v>Ex.</v>
      </c>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7"/>
    </row>
    <row r="568" spans="2:30" s="3" customFormat="1" ht="27" x14ac:dyDescent="0.25">
      <c r="B568" s="9" t="s">
        <v>988</v>
      </c>
      <c r="C568" s="25" t="s">
        <v>989</v>
      </c>
      <c r="D568" s="16"/>
      <c r="E568" s="12"/>
      <c r="F568" s="12"/>
      <c r="G568" s="12"/>
      <c r="H568" s="12"/>
      <c r="I568" s="12"/>
      <c r="J568" s="12"/>
      <c r="K568" s="12"/>
      <c r="L568" s="12"/>
      <c r="M568" s="12"/>
      <c r="N568" s="12"/>
      <c r="O568" s="12"/>
      <c r="P568" s="12"/>
      <c r="Q568" s="12"/>
      <c r="R568" s="12"/>
      <c r="S568" s="12"/>
      <c r="T568" s="12"/>
      <c r="U568" s="12"/>
      <c r="V568" s="12"/>
      <c r="W568" s="12"/>
      <c r="X568" s="12" t="s">
        <v>1693</v>
      </c>
      <c r="Y568" s="12"/>
      <c r="Z568" s="12"/>
      <c r="AA568" s="12"/>
      <c r="AB568" s="12"/>
      <c r="AC568" s="12"/>
      <c r="AD568" s="17"/>
    </row>
    <row r="569" spans="2:30" s="3" customFormat="1" ht="54" x14ac:dyDescent="0.25">
      <c r="B569" s="9" t="s">
        <v>990</v>
      </c>
      <c r="C569" s="25" t="s">
        <v>991</v>
      </c>
      <c r="D569" s="16"/>
      <c r="E569" s="12"/>
      <c r="F569" s="12"/>
      <c r="G569" s="12"/>
      <c r="H569" s="12"/>
      <c r="I569" s="12"/>
      <c r="J569" s="12"/>
      <c r="K569" s="12"/>
      <c r="L569" s="12"/>
      <c r="M569" s="12"/>
      <c r="N569" s="12"/>
      <c r="O569" s="12"/>
      <c r="P569" s="12"/>
      <c r="Q569" s="12"/>
      <c r="R569" s="12"/>
      <c r="S569" s="12"/>
      <c r="T569" s="12"/>
      <c r="U569" s="12"/>
      <c r="V569" s="12"/>
      <c r="W569" s="12"/>
      <c r="X569" s="12" t="s">
        <v>1562</v>
      </c>
      <c r="Y569" s="12"/>
      <c r="Z569" s="12"/>
      <c r="AA569" s="12"/>
      <c r="AB569" s="12"/>
      <c r="AC569" s="12"/>
      <c r="AD569" s="17"/>
    </row>
    <row r="570" spans="2:30" s="3" customFormat="1" ht="54" x14ac:dyDescent="0.25">
      <c r="B570" s="9" t="s">
        <v>992</v>
      </c>
      <c r="C570" s="25" t="s">
        <v>993</v>
      </c>
      <c r="D570" s="16" t="str">
        <f>VLOOKUP(B570,'[1]ART 1'!A:E,5,FALSE)</f>
        <v>Ex.</v>
      </c>
      <c r="E570" s="12"/>
      <c r="F570" s="12"/>
      <c r="G570" s="12"/>
      <c r="H570" s="12"/>
      <c r="I570" s="12"/>
      <c r="J570" s="12"/>
      <c r="K570" s="12" t="str">
        <f>VLOOKUP(B570,'[1]ART 7'!A:E,5,FALSE)</f>
        <v xml:space="preserve">Ex. </v>
      </c>
      <c r="L570" s="12"/>
      <c r="M570" s="12"/>
      <c r="N570" s="12"/>
      <c r="O570" s="12"/>
      <c r="P570" s="12"/>
      <c r="Q570" s="12" t="s">
        <v>1562</v>
      </c>
      <c r="R570" s="12"/>
      <c r="S570" s="12" t="s">
        <v>1562</v>
      </c>
      <c r="T570" s="12"/>
      <c r="U570" s="12"/>
      <c r="V570" s="12"/>
      <c r="W570" s="12"/>
      <c r="X570" s="12" t="s">
        <v>1562</v>
      </c>
      <c r="Y570" s="12"/>
      <c r="Z570" s="12"/>
      <c r="AA570" s="12"/>
      <c r="AB570" s="12"/>
      <c r="AC570" s="12"/>
      <c r="AD570" s="17"/>
    </row>
    <row r="571" spans="2:30" s="3" customFormat="1" ht="54" x14ac:dyDescent="0.25">
      <c r="B571" s="9" t="s">
        <v>994</v>
      </c>
      <c r="C571" s="25" t="s">
        <v>995</v>
      </c>
      <c r="D571" s="16" t="str">
        <f>VLOOKUP(B571,'[1]ART 1'!A:E,5,FALSE)</f>
        <v>Ex.</v>
      </c>
      <c r="E571" s="12" t="str">
        <f>VLOOKUP(B571,'[1]ART 2 A)'!A:E,5,FALSE)</f>
        <v>Ex.</v>
      </c>
      <c r="F571" s="12"/>
      <c r="G571" s="12" t="str">
        <f>VLOOKUP(B571,'[1]ART 3'!A:E,5,FALSE)</f>
        <v xml:space="preserve">Ex. </v>
      </c>
      <c r="H571" s="12" t="str">
        <f>VLOOKUP(B571,'[1]ART IV'!A:E,5,FALSE)</f>
        <v xml:space="preserve">Ex. </v>
      </c>
      <c r="I571" s="12"/>
      <c r="J571" s="12"/>
      <c r="K571" s="12" t="str">
        <f>VLOOKUP(B571,'[1]ART 7'!A:E,5,FALSE)</f>
        <v xml:space="preserve">Ex. </v>
      </c>
      <c r="L571" s="12"/>
      <c r="M571" s="12"/>
      <c r="N571" s="12"/>
      <c r="O571" s="12"/>
      <c r="P571" s="12"/>
      <c r="Q571" s="12"/>
      <c r="R571" s="12"/>
      <c r="S571" s="12"/>
      <c r="T571" s="12"/>
      <c r="U571" s="12"/>
      <c r="V571" s="12"/>
      <c r="W571" s="12"/>
      <c r="X571" s="12" t="s">
        <v>1562</v>
      </c>
      <c r="Y571" s="12"/>
      <c r="Z571" s="12"/>
      <c r="AA571" s="12"/>
      <c r="AB571" s="12"/>
      <c r="AC571" s="12"/>
      <c r="AD571" s="17"/>
    </row>
    <row r="572" spans="2:30" s="3" customFormat="1" ht="13.5" x14ac:dyDescent="0.25">
      <c r="B572" s="9" t="s">
        <v>996</v>
      </c>
      <c r="C572" s="25" t="s">
        <v>997</v>
      </c>
      <c r="D572" s="16" t="str">
        <f>VLOOKUP(B572,'[1]ART 1'!A:E,5,FALSE)</f>
        <v>Ex.</v>
      </c>
      <c r="E572" s="12" t="str">
        <f>VLOOKUP(B572,'[1]ART 2 A)'!A:E,5,FALSE)</f>
        <v>Ex.</v>
      </c>
      <c r="F572" s="12"/>
      <c r="G572" s="12" t="str">
        <f>VLOOKUP(B572,'[1]ART 3'!A:E,5,FALSE)</f>
        <v xml:space="preserve">Ex. </v>
      </c>
      <c r="H572" s="12"/>
      <c r="I572" s="12"/>
      <c r="J572" s="12"/>
      <c r="K572" s="12"/>
      <c r="L572" s="12"/>
      <c r="M572" s="12"/>
      <c r="N572" s="12"/>
      <c r="O572" s="12"/>
      <c r="P572" s="12"/>
      <c r="Q572" s="12"/>
      <c r="R572" s="12"/>
      <c r="S572" s="12"/>
      <c r="T572" s="12"/>
      <c r="U572" s="12"/>
      <c r="V572" s="12"/>
      <c r="W572" s="12"/>
      <c r="X572" s="12" t="s">
        <v>1562</v>
      </c>
      <c r="Y572" s="12"/>
      <c r="Z572" s="12"/>
      <c r="AA572" s="12"/>
      <c r="AB572" s="12"/>
      <c r="AC572" s="12"/>
      <c r="AD572" s="17"/>
    </row>
    <row r="573" spans="2:30" s="3" customFormat="1" ht="27" x14ac:dyDescent="0.25">
      <c r="B573" s="9" t="s">
        <v>998</v>
      </c>
      <c r="C573" s="25" t="s">
        <v>999</v>
      </c>
      <c r="D573" s="16" t="str">
        <f>VLOOKUP(B573,'[1]ART 1'!A:E,5,FALSE)</f>
        <v>Ex.</v>
      </c>
      <c r="E573" s="12" t="str">
        <f>VLOOKUP(B573,'[1]ART 2 A)'!A:E,5,FALSE)</f>
        <v>Ex.</v>
      </c>
      <c r="F573" s="12"/>
      <c r="G573" s="12" t="str">
        <f>VLOOKUP(B573,'[1]ART 3'!A:E,5,FALSE)</f>
        <v xml:space="preserve">Ex. </v>
      </c>
      <c r="H573" s="12"/>
      <c r="I573" s="12"/>
      <c r="J573" s="12"/>
      <c r="K573" s="12" t="str">
        <f>VLOOKUP(B573,'[1]ART 7'!A:E,5,FALSE)</f>
        <v xml:space="preserve">Ex. </v>
      </c>
      <c r="L573" s="12"/>
      <c r="M573" s="12"/>
      <c r="N573" s="12" t="s">
        <v>1562</v>
      </c>
      <c r="O573" s="12"/>
      <c r="P573" s="12"/>
      <c r="Q573" s="12" t="s">
        <v>1562</v>
      </c>
      <c r="R573" s="12"/>
      <c r="S573" s="12"/>
      <c r="T573" s="12"/>
      <c r="U573" s="12"/>
      <c r="V573" s="12"/>
      <c r="W573" s="12"/>
      <c r="X573" s="12" t="s">
        <v>1562</v>
      </c>
      <c r="Y573" s="12"/>
      <c r="Z573" s="12"/>
      <c r="AA573" s="12"/>
      <c r="AB573" s="12"/>
      <c r="AC573" s="12"/>
      <c r="AD573" s="17"/>
    </row>
    <row r="574" spans="2:30" s="3" customFormat="1" ht="27" x14ac:dyDescent="0.25">
      <c r="B574" s="9" t="s">
        <v>1000</v>
      </c>
      <c r="C574" s="25" t="s">
        <v>1001</v>
      </c>
      <c r="D574" s="16"/>
      <c r="E574" s="12"/>
      <c r="F574" s="12"/>
      <c r="G574" s="12"/>
      <c r="H574" s="12"/>
      <c r="I574" s="12"/>
      <c r="J574" s="12"/>
      <c r="K574" s="12"/>
      <c r="L574" s="12"/>
      <c r="M574" s="12"/>
      <c r="N574" s="12"/>
      <c r="O574" s="12"/>
      <c r="P574" s="12"/>
      <c r="Q574" s="12"/>
      <c r="R574" s="12"/>
      <c r="S574" s="12"/>
      <c r="T574" s="12"/>
      <c r="U574" s="12"/>
      <c r="V574" s="12"/>
      <c r="W574" s="12"/>
      <c r="X574" s="12" t="s">
        <v>1562</v>
      </c>
      <c r="Y574" s="12"/>
      <c r="Z574" s="12"/>
      <c r="AA574" s="12"/>
      <c r="AB574" s="12"/>
      <c r="AC574" s="12"/>
      <c r="AD574" s="17"/>
    </row>
    <row r="575" spans="2:30" s="3" customFormat="1" ht="27" x14ac:dyDescent="0.25">
      <c r="B575" s="9" t="s">
        <v>1002</v>
      </c>
      <c r="C575" s="25" t="s">
        <v>1003</v>
      </c>
      <c r="D575" s="16" t="str">
        <f>VLOOKUP(B575,'[1]ART 1'!A:E,5,FALSE)</f>
        <v>Ex.</v>
      </c>
      <c r="E575" s="12" t="str">
        <f>VLOOKUP(B575,'[1]ART 2 A)'!A:E,5,FALSE)</f>
        <v>Ex.</v>
      </c>
      <c r="F575" s="12"/>
      <c r="G575" s="12" t="str">
        <f>VLOOKUP(B575,'[1]ART 3'!A:E,5,FALSE)</f>
        <v xml:space="preserve">Ex. </v>
      </c>
      <c r="H575" s="12"/>
      <c r="I575" s="12"/>
      <c r="J575" s="12" t="str">
        <f>VLOOKUP(B575,'[1]ART 6'!A:E,5,FALSE)</f>
        <v xml:space="preserve">5 </v>
      </c>
      <c r="K575" s="12" t="str">
        <f>VLOOKUP(B575,'[1]ART 7'!A:E,5,FALSE)</f>
        <v xml:space="preserve">Ex. </v>
      </c>
      <c r="L575" s="12"/>
      <c r="M575" s="12"/>
      <c r="N575" s="12" t="s">
        <v>1562</v>
      </c>
      <c r="O575" s="12"/>
      <c r="P575" s="12"/>
      <c r="Q575" s="12" t="s">
        <v>1562</v>
      </c>
      <c r="R575" s="12"/>
      <c r="S575" s="12" t="s">
        <v>1562</v>
      </c>
      <c r="T575" s="12" t="s">
        <v>1562</v>
      </c>
      <c r="U575" s="12"/>
      <c r="V575" s="12"/>
      <c r="W575" s="12"/>
      <c r="X575" s="12" t="s">
        <v>1562</v>
      </c>
      <c r="Y575" s="12"/>
      <c r="Z575" s="12"/>
      <c r="AA575" s="12"/>
      <c r="AB575" s="12"/>
      <c r="AC575" s="12"/>
      <c r="AD575" s="17"/>
    </row>
    <row r="576" spans="2:30" s="3" customFormat="1" ht="27" x14ac:dyDescent="0.25">
      <c r="B576" s="9" t="s">
        <v>1004</v>
      </c>
      <c r="C576" s="25" t="s">
        <v>1003</v>
      </c>
      <c r="D576" s="16" t="str">
        <f>VLOOKUP(B576,'[1]ART 1'!A:E,5,FALSE)</f>
        <v>Ex.</v>
      </c>
      <c r="E576" s="12" t="str">
        <f>VLOOKUP(B576,'[1]ART 2 A)'!A:E,5,FALSE)</f>
        <v>Ex.</v>
      </c>
      <c r="F576" s="12"/>
      <c r="G576" s="12" t="str">
        <f>VLOOKUP(B576,'[1]ART 3'!A:E,5,FALSE)</f>
        <v xml:space="preserve">Ex. </v>
      </c>
      <c r="H576" s="12"/>
      <c r="I576" s="12"/>
      <c r="J576" s="12" t="str">
        <f>VLOOKUP(B576,'[1]ART 6'!A:E,5,FALSE)</f>
        <v xml:space="preserve">5 </v>
      </c>
      <c r="K576" s="12" t="str">
        <f>VLOOKUP(B576,'[1]ART 7'!A:E,5,FALSE)</f>
        <v xml:space="preserve">Ex. </v>
      </c>
      <c r="L576" s="12"/>
      <c r="M576" s="12"/>
      <c r="N576" s="12" t="s">
        <v>1562</v>
      </c>
      <c r="O576" s="12"/>
      <c r="P576" s="12"/>
      <c r="Q576" s="12" t="s">
        <v>1562</v>
      </c>
      <c r="R576" s="12"/>
      <c r="S576" s="12" t="s">
        <v>1562</v>
      </c>
      <c r="T576" s="12" t="s">
        <v>1562</v>
      </c>
      <c r="U576" s="12"/>
      <c r="V576" s="12"/>
      <c r="W576" s="12"/>
      <c r="X576" s="12" t="s">
        <v>1562</v>
      </c>
      <c r="Y576" s="12"/>
      <c r="Z576" s="12"/>
      <c r="AA576" s="12"/>
      <c r="AB576" s="12"/>
      <c r="AC576" s="12"/>
      <c r="AD576" s="17"/>
    </row>
    <row r="577" spans="2:30" s="3" customFormat="1" ht="40.5" x14ac:dyDescent="0.25">
      <c r="B577" s="9" t="s">
        <v>1005</v>
      </c>
      <c r="C577" s="25" t="s">
        <v>1006</v>
      </c>
      <c r="D577" s="16" t="str">
        <f>VLOOKUP(B577,'[1]ART 1'!A:E,5,FALSE)</f>
        <v>Ex.Excepto: De control numérico.</v>
      </c>
      <c r="E577" s="12" t="str">
        <f>VLOOKUP(B577,'[1]ART 2 A)'!A:E,5,FALSE)</f>
        <v>Ex.</v>
      </c>
      <c r="F577" s="12"/>
      <c r="G577" s="12"/>
      <c r="H577" s="12"/>
      <c r="I577" s="12"/>
      <c r="J577" s="12"/>
      <c r="K577" s="12"/>
      <c r="L577" s="12"/>
      <c r="M577" s="12"/>
      <c r="N577" s="12"/>
      <c r="O577" s="12"/>
      <c r="P577" s="12"/>
      <c r="Q577" s="12"/>
      <c r="R577" s="12"/>
      <c r="S577" s="12"/>
      <c r="T577" s="12"/>
      <c r="U577" s="12"/>
      <c r="V577" s="12"/>
      <c r="W577" s="12"/>
      <c r="X577" s="12" t="s">
        <v>1562</v>
      </c>
      <c r="Y577" s="12"/>
      <c r="Z577" s="12"/>
      <c r="AA577" s="12"/>
      <c r="AB577" s="12"/>
      <c r="AC577" s="12"/>
      <c r="AD577" s="17"/>
    </row>
    <row r="578" spans="2:30" s="3" customFormat="1" ht="27" x14ac:dyDescent="0.25">
      <c r="B578" s="9" t="s">
        <v>1007</v>
      </c>
      <c r="C578" s="25" t="s">
        <v>1006</v>
      </c>
      <c r="D578" s="16"/>
      <c r="E578" s="12" t="str">
        <f>VLOOKUP(B578,'[1]ART 2 A)'!A:E,5,FALSE)</f>
        <v>Ex.</v>
      </c>
      <c r="F578" s="12"/>
      <c r="G578" s="12"/>
      <c r="H578" s="12"/>
      <c r="I578" s="12"/>
      <c r="J578" s="12"/>
      <c r="K578" s="12"/>
      <c r="L578" s="12"/>
      <c r="M578" s="12"/>
      <c r="N578" s="12"/>
      <c r="O578" s="12"/>
      <c r="P578" s="12"/>
      <c r="Q578" s="12"/>
      <c r="R578" s="12"/>
      <c r="S578" s="12"/>
      <c r="T578" s="12"/>
      <c r="U578" s="12"/>
      <c r="V578" s="12"/>
      <c r="W578" s="12"/>
      <c r="X578" s="12" t="s">
        <v>1694</v>
      </c>
      <c r="Y578" s="12"/>
      <c r="Z578" s="12"/>
      <c r="AA578" s="12"/>
      <c r="AB578" s="12"/>
      <c r="AC578" s="12"/>
      <c r="AD578" s="17"/>
    </row>
    <row r="579" spans="2:30" s="3" customFormat="1" ht="27" x14ac:dyDescent="0.25">
      <c r="B579" s="9" t="s">
        <v>1008</v>
      </c>
      <c r="C579" s="25" t="s">
        <v>1009</v>
      </c>
      <c r="D579" s="16" t="str">
        <f>VLOOKUP(B579,'[1]ART 1'!A:E,5,FALSE)</f>
        <v>Ex.</v>
      </c>
      <c r="E579" s="12" t="str">
        <f>VLOOKUP(B579,'[1]ART 2 A)'!A:E,5,FALSE)</f>
        <v>Ex.</v>
      </c>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7"/>
    </row>
    <row r="580" spans="2:30" s="3" customFormat="1" ht="67.5" x14ac:dyDescent="0.25">
      <c r="B580" s="9" t="s">
        <v>1010</v>
      </c>
      <c r="C580" s="25" t="s">
        <v>1011</v>
      </c>
      <c r="D580" s="16" t="str">
        <f>VLOOKUP(B580,'[1]ART 1'!A:E,5,FALSE)</f>
        <v>Ex.</v>
      </c>
      <c r="E580" s="12" t="str">
        <f>VLOOKUP(B580,'[1]ART 2 A)'!A:E,5,FALSE)</f>
        <v>Ex.</v>
      </c>
      <c r="F580" s="12"/>
      <c r="G580" s="12"/>
      <c r="H580" s="12"/>
      <c r="I580" s="12"/>
      <c r="J580" s="12"/>
      <c r="K580" s="12"/>
      <c r="L580" s="12"/>
      <c r="M580" s="12"/>
      <c r="N580" s="12"/>
      <c r="O580" s="12"/>
      <c r="P580" s="12"/>
      <c r="Q580" s="12"/>
      <c r="R580" s="12"/>
      <c r="S580" s="12"/>
      <c r="T580" s="12"/>
      <c r="U580" s="12"/>
      <c r="V580" s="12"/>
      <c r="W580" s="12"/>
      <c r="X580" s="12" t="s">
        <v>1562</v>
      </c>
      <c r="Y580" s="12"/>
      <c r="Z580" s="12"/>
      <c r="AA580" s="12"/>
      <c r="AB580" s="12"/>
      <c r="AC580" s="12"/>
      <c r="AD580" s="17"/>
    </row>
    <row r="581" spans="2:30" s="3" customFormat="1" ht="27" x14ac:dyDescent="0.25">
      <c r="B581" s="9" t="s">
        <v>1012</v>
      </c>
      <c r="C581" s="25" t="s">
        <v>1006</v>
      </c>
      <c r="D581" s="16"/>
      <c r="E581" s="12" t="str">
        <f>VLOOKUP(B581,'[1]ART 2 A)'!A:E,5,FALSE)</f>
        <v>Ex.</v>
      </c>
      <c r="F581" s="12"/>
      <c r="G581" s="12"/>
      <c r="H581" s="12"/>
      <c r="I581" s="12"/>
      <c r="J581" s="12"/>
      <c r="K581" s="12"/>
      <c r="L581" s="12"/>
      <c r="M581" s="12"/>
      <c r="N581" s="12"/>
      <c r="O581" s="12"/>
      <c r="P581" s="12"/>
      <c r="Q581" s="12"/>
      <c r="R581" s="12"/>
      <c r="S581" s="12"/>
      <c r="T581" s="12"/>
      <c r="U581" s="12"/>
      <c r="V581" s="12"/>
      <c r="W581" s="12"/>
      <c r="X581" s="12" t="s">
        <v>1562</v>
      </c>
      <c r="Y581" s="12"/>
      <c r="Z581" s="12"/>
      <c r="AA581" s="12"/>
      <c r="AB581" s="12"/>
      <c r="AC581" s="12"/>
      <c r="AD581" s="17"/>
    </row>
    <row r="582" spans="2:30" s="3" customFormat="1" ht="40.5" x14ac:dyDescent="0.25">
      <c r="B582" s="9" t="s">
        <v>1013</v>
      </c>
      <c r="C582" s="25" t="s">
        <v>1009</v>
      </c>
      <c r="D582" s="16" t="str">
        <f>VLOOKUP(B582,'[1]ART 1'!A:E,5,FALSE)</f>
        <v>Ex.Únicamente: De control numérico.</v>
      </c>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7"/>
    </row>
    <row r="583" spans="2:30" s="3" customFormat="1" ht="40.5" x14ac:dyDescent="0.25">
      <c r="B583" s="9" t="s">
        <v>1014</v>
      </c>
      <c r="C583" s="25" t="s">
        <v>1015</v>
      </c>
      <c r="D583" s="16" t="str">
        <f>VLOOKUP(B583,'[1]ART 1'!A:E,5,FALSE)</f>
        <v>Ex.</v>
      </c>
      <c r="E583" s="12" t="str">
        <f>VLOOKUP(B583,'[1]ART 2 A)'!A:E,5,FALSE)</f>
        <v>Ex.</v>
      </c>
      <c r="F583" s="12"/>
      <c r="G583" s="12" t="str">
        <f>VLOOKUP(B583,'[1]ART 3'!A:E,5,FALSE)</f>
        <v xml:space="preserve">Ex. </v>
      </c>
      <c r="H583" s="12" t="str">
        <f>VLOOKUP(B583,'[1]ART IV'!A:E,5,FALSE)</f>
        <v xml:space="preserve">Ex. </v>
      </c>
      <c r="I583" s="12"/>
      <c r="J583" s="12"/>
      <c r="K583" s="12"/>
      <c r="L583" s="12"/>
      <c r="M583" s="12"/>
      <c r="N583" s="12"/>
      <c r="O583" s="12"/>
      <c r="P583" s="12"/>
      <c r="Q583" s="12" t="s">
        <v>1562</v>
      </c>
      <c r="R583" s="12"/>
      <c r="S583" s="12"/>
      <c r="T583" s="12"/>
      <c r="U583" s="12"/>
      <c r="V583" s="12"/>
      <c r="W583" s="12"/>
      <c r="X583" s="12" t="s">
        <v>1562</v>
      </c>
      <c r="Y583" s="12"/>
      <c r="Z583" s="12"/>
      <c r="AA583" s="12"/>
      <c r="AB583" s="12"/>
      <c r="AC583" s="12"/>
      <c r="AD583" s="17"/>
    </row>
    <row r="584" spans="2:30" s="3" customFormat="1" ht="54" x14ac:dyDescent="0.25">
      <c r="B584" s="9" t="s">
        <v>1016</v>
      </c>
      <c r="C584" s="25" t="s">
        <v>1017</v>
      </c>
      <c r="D584" s="16" t="str">
        <f>VLOOKUP(B584,'[1]ART 1'!A:E,5,FALSE)</f>
        <v>Ex.</v>
      </c>
      <c r="E584" s="12" t="str">
        <f>VLOOKUP(B584,'[1]ART 2 A)'!A:E,5,FALSE)</f>
        <v>Ex.</v>
      </c>
      <c r="F584" s="12"/>
      <c r="G584" s="12"/>
      <c r="H584" s="12" t="str">
        <f>VLOOKUP(B584,'[1]ART IV'!A:E,5,FALSE)</f>
        <v xml:space="preserve">Ex. </v>
      </c>
      <c r="I584" s="12"/>
      <c r="J584" s="12"/>
      <c r="K584" s="12"/>
      <c r="L584" s="12"/>
      <c r="M584" s="12"/>
      <c r="N584" s="12"/>
      <c r="O584" s="12"/>
      <c r="P584" s="12"/>
      <c r="Q584" s="12"/>
      <c r="R584" s="12"/>
      <c r="S584" s="12"/>
      <c r="T584" s="12"/>
      <c r="U584" s="12"/>
      <c r="V584" s="12"/>
      <c r="W584" s="12"/>
      <c r="X584" s="12" t="s">
        <v>1562</v>
      </c>
      <c r="Y584" s="12"/>
      <c r="Z584" s="12"/>
      <c r="AA584" s="12"/>
      <c r="AB584" s="12"/>
      <c r="AC584" s="12"/>
      <c r="AD584" s="17"/>
    </row>
    <row r="585" spans="2:30" s="3" customFormat="1" ht="67.5" x14ac:dyDescent="0.25">
      <c r="B585" s="9" t="s">
        <v>1018</v>
      </c>
      <c r="C585" s="25" t="s">
        <v>1019</v>
      </c>
      <c r="D585" s="16" t="str">
        <f>VLOOKUP(B585,'[1]ART 1'!A:E,5,FALSE)</f>
        <v>Ex.</v>
      </c>
      <c r="E585" s="12" t="str">
        <f>VLOOKUP(B585,'[1]ART 2 A)'!A:E,5,FALSE)</f>
        <v>Ex.Únicamente: De control numérico.</v>
      </c>
      <c r="F585" s="12"/>
      <c r="G585" s="12"/>
      <c r="H585" s="12"/>
      <c r="I585" s="12"/>
      <c r="J585" s="12"/>
      <c r="K585" s="12"/>
      <c r="L585" s="12"/>
      <c r="M585" s="12"/>
      <c r="N585" s="12"/>
      <c r="O585" s="12"/>
      <c r="P585" s="12"/>
      <c r="Q585" s="12"/>
      <c r="R585" s="12"/>
      <c r="S585" s="12" t="s">
        <v>1562</v>
      </c>
      <c r="T585" s="12"/>
      <c r="U585" s="12"/>
      <c r="V585" s="12"/>
      <c r="W585" s="12"/>
      <c r="X585" s="12" t="s">
        <v>1562</v>
      </c>
      <c r="Y585" s="12"/>
      <c r="Z585" s="12"/>
      <c r="AA585" s="12"/>
      <c r="AB585" s="12"/>
      <c r="AC585" s="12"/>
      <c r="AD585" s="17"/>
    </row>
    <row r="586" spans="2:30" s="3" customFormat="1" ht="40.5" x14ac:dyDescent="0.25">
      <c r="B586" s="9" t="s">
        <v>1020</v>
      </c>
      <c r="C586" s="25" t="s">
        <v>1006</v>
      </c>
      <c r="D586" s="16" t="str">
        <f>VLOOKUP(B586,'[1]ART 1'!A:E,5,FALSE)</f>
        <v>Ex.Excepto: De control numérico.</v>
      </c>
      <c r="E586" s="12" t="str">
        <f>VLOOKUP(B586,'[1]ART 2 A)'!A:E,5,FALSE)</f>
        <v>Ex.</v>
      </c>
      <c r="F586" s="12"/>
      <c r="G586" s="12"/>
      <c r="H586" s="12"/>
      <c r="I586" s="12"/>
      <c r="J586" s="12"/>
      <c r="K586" s="12"/>
      <c r="L586" s="12"/>
      <c r="M586" s="12"/>
      <c r="N586" s="12"/>
      <c r="O586" s="12"/>
      <c r="P586" s="12"/>
      <c r="Q586" s="12"/>
      <c r="R586" s="12"/>
      <c r="S586" s="12"/>
      <c r="T586" s="12"/>
      <c r="U586" s="12"/>
      <c r="V586" s="12"/>
      <c r="W586" s="12"/>
      <c r="X586" s="12" t="s">
        <v>1562</v>
      </c>
      <c r="Y586" s="12"/>
      <c r="Z586" s="12"/>
      <c r="AA586" s="12"/>
      <c r="AB586" s="12"/>
      <c r="AC586" s="12"/>
      <c r="AD586" s="17"/>
    </row>
    <row r="587" spans="2:30" s="3" customFormat="1" ht="27" x14ac:dyDescent="0.25">
      <c r="B587" s="9" t="s">
        <v>1021</v>
      </c>
      <c r="C587" s="25" t="s">
        <v>1022</v>
      </c>
      <c r="D587" s="16" t="str">
        <f>VLOOKUP(B587,'[1]ART 1'!A:E,5,FALSE)</f>
        <v>Ex.</v>
      </c>
      <c r="E587" s="12" t="str">
        <f>VLOOKUP(B587,'[1]ART 2 A)'!A:E,5,FALSE)</f>
        <v>Ex.</v>
      </c>
      <c r="F587" s="12"/>
      <c r="G587" s="12"/>
      <c r="H587" s="12"/>
      <c r="I587" s="12"/>
      <c r="J587" s="12"/>
      <c r="K587" s="12"/>
      <c r="L587" s="12"/>
      <c r="M587" s="12"/>
      <c r="N587" s="12"/>
      <c r="O587" s="12"/>
      <c r="P587" s="12"/>
      <c r="Q587" s="12"/>
      <c r="R587" s="12"/>
      <c r="S587" s="12"/>
      <c r="T587" s="12"/>
      <c r="U587" s="12"/>
      <c r="V587" s="12"/>
      <c r="W587" s="12"/>
      <c r="X587" s="12" t="s">
        <v>1562</v>
      </c>
      <c r="Y587" s="12"/>
      <c r="Z587" s="12"/>
      <c r="AA587" s="12"/>
      <c r="AB587" s="12"/>
      <c r="AC587" s="12"/>
      <c r="AD587" s="17"/>
    </row>
    <row r="588" spans="2:30" s="3" customFormat="1" ht="27" x14ac:dyDescent="0.25">
      <c r="B588" s="9" t="s">
        <v>1023</v>
      </c>
      <c r="C588" s="25" t="s">
        <v>1024</v>
      </c>
      <c r="D588" s="16" t="str">
        <f>VLOOKUP(B588,'[1]ART 1'!A:E,5,FALSE)</f>
        <v>Ex.</v>
      </c>
      <c r="E588" s="12" t="str">
        <f>VLOOKUP(B588,'[1]ART 2 A)'!A:E,5,FALSE)</f>
        <v>Ex.</v>
      </c>
      <c r="F588" s="12"/>
      <c r="G588" s="12" t="str">
        <f>VLOOKUP(B588,'[1]ART 3'!A:E,5,FALSE)</f>
        <v xml:space="preserve">Ex. </v>
      </c>
      <c r="H588" s="12" t="str">
        <f>VLOOKUP(B588,'[1]ART IV'!A:E,5,FALSE)</f>
        <v xml:space="preserve">Ex. </v>
      </c>
      <c r="I588" s="12"/>
      <c r="J588" s="12"/>
      <c r="K588" s="12"/>
      <c r="L588" s="12"/>
      <c r="M588" s="12"/>
      <c r="N588" s="12"/>
      <c r="O588" s="12"/>
      <c r="P588" s="12"/>
      <c r="Q588" s="12" t="s">
        <v>1562</v>
      </c>
      <c r="R588" s="12"/>
      <c r="S588" s="12"/>
      <c r="T588" s="12"/>
      <c r="U588" s="12"/>
      <c r="V588" s="12"/>
      <c r="W588" s="12"/>
      <c r="X588" s="12" t="s">
        <v>1562</v>
      </c>
      <c r="Y588" s="12"/>
      <c r="Z588" s="12"/>
      <c r="AA588" s="12"/>
      <c r="AB588" s="12"/>
      <c r="AC588" s="12"/>
      <c r="AD588" s="17"/>
    </row>
    <row r="589" spans="2:30" s="3" customFormat="1" ht="27" x14ac:dyDescent="0.25">
      <c r="B589" s="9" t="s">
        <v>1025</v>
      </c>
      <c r="C589" s="25" t="s">
        <v>1006</v>
      </c>
      <c r="D589" s="16" t="str">
        <f>VLOOKUP(B589,'[1]ART 1'!A:E,5,FALSE)</f>
        <v>Ex.</v>
      </c>
      <c r="E589" s="12" t="str">
        <f>VLOOKUP(B589,'[1]ART 2 A)'!A:E,5,FALSE)</f>
        <v>Ex.</v>
      </c>
      <c r="F589" s="12"/>
      <c r="G589" s="12" t="str">
        <f>VLOOKUP(B589,'[1]ART 3'!A:E,5,FALSE)</f>
        <v xml:space="preserve">Ex. </v>
      </c>
      <c r="H589" s="12"/>
      <c r="I589" s="12"/>
      <c r="J589" s="12"/>
      <c r="K589" s="12"/>
      <c r="L589" s="12"/>
      <c r="M589" s="12"/>
      <c r="N589" s="12"/>
      <c r="O589" s="12"/>
      <c r="P589" s="12"/>
      <c r="Q589" s="12"/>
      <c r="R589" s="12"/>
      <c r="S589" s="12"/>
      <c r="T589" s="12"/>
      <c r="U589" s="12"/>
      <c r="V589" s="12"/>
      <c r="W589" s="12"/>
      <c r="X589" s="12" t="s">
        <v>1562</v>
      </c>
      <c r="Y589" s="12"/>
      <c r="Z589" s="12"/>
      <c r="AA589" s="12"/>
      <c r="AB589" s="12"/>
      <c r="AC589" s="12"/>
      <c r="AD589" s="17"/>
    </row>
    <row r="590" spans="2:30" s="3" customFormat="1" ht="67.5" x14ac:dyDescent="0.25">
      <c r="B590" s="9" t="s">
        <v>1026</v>
      </c>
      <c r="C590" s="25" t="s">
        <v>1011</v>
      </c>
      <c r="D590" s="16" t="str">
        <f>VLOOKUP(B590,'[1]ART 1'!A:E,5,FALSE)</f>
        <v>Ex.</v>
      </c>
      <c r="E590" s="12" t="str">
        <f>VLOOKUP(B590,'[1]ART 2 A)'!A:E,5,FALSE)</f>
        <v>Ex.</v>
      </c>
      <c r="F590" s="12"/>
      <c r="G590" s="12"/>
      <c r="H590" s="12"/>
      <c r="I590" s="12"/>
      <c r="J590" s="12"/>
      <c r="K590" s="12"/>
      <c r="L590" s="12"/>
      <c r="M590" s="12"/>
      <c r="N590" s="12"/>
      <c r="O590" s="12"/>
      <c r="P590" s="12"/>
      <c r="Q590" s="12"/>
      <c r="R590" s="12"/>
      <c r="S590" s="12"/>
      <c r="T590" s="12"/>
      <c r="U590" s="12"/>
      <c r="V590" s="12"/>
      <c r="W590" s="12"/>
      <c r="X590" s="12" t="s">
        <v>1562</v>
      </c>
      <c r="Y590" s="12"/>
      <c r="Z590" s="12"/>
      <c r="AA590" s="12"/>
      <c r="AB590" s="12"/>
      <c r="AC590" s="12"/>
      <c r="AD590" s="17"/>
    </row>
    <row r="591" spans="2:30" s="3" customFormat="1" ht="13.5" x14ac:dyDescent="0.25">
      <c r="B591" s="9" t="s">
        <v>1027</v>
      </c>
      <c r="C591" s="25" t="s">
        <v>1028</v>
      </c>
      <c r="D591" s="16" t="str">
        <f>VLOOKUP(B591,'[1]ART 1'!A:E,5,FALSE)</f>
        <v>Ex.</v>
      </c>
      <c r="E591" s="12" t="str">
        <f>VLOOKUP(B591,'[1]ART 2 A)'!A:E,5,FALSE)</f>
        <v>Ex.</v>
      </c>
      <c r="F591" s="12"/>
      <c r="G591" s="12"/>
      <c r="H591" s="12"/>
      <c r="I591" s="12"/>
      <c r="J591" s="12"/>
      <c r="K591" s="12"/>
      <c r="L591" s="12"/>
      <c r="M591" s="12"/>
      <c r="N591" s="12"/>
      <c r="O591" s="12"/>
      <c r="P591" s="12"/>
      <c r="Q591" s="12"/>
      <c r="R591" s="12"/>
      <c r="S591" s="12"/>
      <c r="T591" s="12"/>
      <c r="U591" s="12"/>
      <c r="V591" s="12"/>
      <c r="W591" s="12"/>
      <c r="X591" s="12" t="s">
        <v>1562</v>
      </c>
      <c r="Y591" s="12"/>
      <c r="Z591" s="12"/>
      <c r="AA591" s="12"/>
      <c r="AB591" s="12"/>
      <c r="AC591" s="12"/>
      <c r="AD591" s="17"/>
    </row>
    <row r="592" spans="2:30" s="3" customFormat="1" ht="40.5" x14ac:dyDescent="0.25">
      <c r="B592" s="9" t="s">
        <v>1029</v>
      </c>
      <c r="C592" s="25" t="s">
        <v>1030</v>
      </c>
      <c r="D592" s="16" t="str">
        <f>VLOOKUP(B592,'[1]ART 1'!A:E,5,FALSE)</f>
        <v>Ex.</v>
      </c>
      <c r="E592" s="12" t="str">
        <f>VLOOKUP(B592,'[1]ART 2 A)'!A:E,5,FALSE)</f>
        <v>Ex.</v>
      </c>
      <c r="F592" s="12"/>
      <c r="G592" s="12"/>
      <c r="H592" s="12" t="str">
        <f>VLOOKUP(B592,'[1]ART IV'!A:E,5,FALSE)</f>
        <v xml:space="preserve">Ex. </v>
      </c>
      <c r="I592" s="12"/>
      <c r="J592" s="12"/>
      <c r="K592" s="12"/>
      <c r="L592" s="12"/>
      <c r="M592" s="12"/>
      <c r="N592" s="12"/>
      <c r="O592" s="12"/>
      <c r="P592" s="12"/>
      <c r="Q592" s="12"/>
      <c r="R592" s="12"/>
      <c r="S592" s="12"/>
      <c r="T592" s="12"/>
      <c r="U592" s="12"/>
      <c r="V592" s="12"/>
      <c r="W592" s="12"/>
      <c r="X592" s="12" t="s">
        <v>1562</v>
      </c>
      <c r="Y592" s="12"/>
      <c r="Z592" s="12"/>
      <c r="AA592" s="12"/>
      <c r="AB592" s="12"/>
      <c r="AC592" s="12"/>
      <c r="AD592" s="17"/>
    </row>
    <row r="593" spans="2:30" s="3" customFormat="1" ht="67.5" x14ac:dyDescent="0.25">
      <c r="B593" s="9" t="s">
        <v>1031</v>
      </c>
      <c r="C593" s="25" t="s">
        <v>1019</v>
      </c>
      <c r="D593" s="16" t="str">
        <f>VLOOKUP(B593,'[1]ART 1'!A:E,5,FALSE)</f>
        <v>Ex.</v>
      </c>
      <c r="E593" s="12"/>
      <c r="F593" s="12"/>
      <c r="G593" s="12"/>
      <c r="H593" s="12"/>
      <c r="I593" s="12"/>
      <c r="J593" s="12"/>
      <c r="K593" s="12"/>
      <c r="L593" s="12"/>
      <c r="M593" s="12"/>
      <c r="N593" s="12"/>
      <c r="O593" s="12"/>
      <c r="P593" s="12"/>
      <c r="Q593" s="12"/>
      <c r="R593" s="12"/>
      <c r="S593" s="12"/>
      <c r="T593" s="12"/>
      <c r="U593" s="12"/>
      <c r="V593" s="12"/>
      <c r="W593" s="12"/>
      <c r="X593" s="12" t="s">
        <v>1562</v>
      </c>
      <c r="Y593" s="12"/>
      <c r="Z593" s="12"/>
      <c r="AA593" s="12"/>
      <c r="AB593" s="12"/>
      <c r="AC593" s="12"/>
      <c r="AD593" s="17"/>
    </row>
    <row r="594" spans="2:30" s="3" customFormat="1" ht="27" x14ac:dyDescent="0.25">
      <c r="B594" s="9" t="s">
        <v>1032</v>
      </c>
      <c r="C594" s="25" t="s">
        <v>1024</v>
      </c>
      <c r="D594" s="16" t="str">
        <f>VLOOKUP(B594,'[1]ART 1'!A:E,5,FALSE)</f>
        <v>Ex.</v>
      </c>
      <c r="E594" s="12" t="str">
        <f>VLOOKUP(B594,'[1]ART 2 A)'!A:E,5,FALSE)</f>
        <v>Ex.</v>
      </c>
      <c r="F594" s="12"/>
      <c r="G594" s="12" t="str">
        <f>VLOOKUP(B594,'[1]ART 3'!A:E,5,FALSE)</f>
        <v xml:space="preserve">Ex. </v>
      </c>
      <c r="H594" s="12" t="str">
        <f>VLOOKUP(B594,'[1]ART IV'!A:E,5,FALSE)</f>
        <v xml:space="preserve">Ex. </v>
      </c>
      <c r="I594" s="12"/>
      <c r="J594" s="12"/>
      <c r="K594" s="12"/>
      <c r="L594" s="12"/>
      <c r="M594" s="12"/>
      <c r="N594" s="12"/>
      <c r="O594" s="12"/>
      <c r="P594" s="12"/>
      <c r="Q594" s="12" t="s">
        <v>1562</v>
      </c>
      <c r="R594" s="12"/>
      <c r="S594" s="12"/>
      <c r="T594" s="12"/>
      <c r="U594" s="12"/>
      <c r="V594" s="12"/>
      <c r="W594" s="12"/>
      <c r="X594" s="12" t="s">
        <v>1562</v>
      </c>
      <c r="Y594" s="12"/>
      <c r="Z594" s="12"/>
      <c r="AA594" s="12"/>
      <c r="AB594" s="12"/>
      <c r="AC594" s="12"/>
      <c r="AD594" s="17"/>
    </row>
    <row r="595" spans="2:30" s="3" customFormat="1" ht="189" x14ac:dyDescent="0.25">
      <c r="B595" s="9" t="s">
        <v>1033</v>
      </c>
      <c r="C595" s="25" t="s">
        <v>1034</v>
      </c>
      <c r="D595" s="16" t="str">
        <f>VLOOKUP(B595,'[1]ART 1'!A:E,5,FALSE)</f>
        <v>Ex.</v>
      </c>
      <c r="E595" s="12" t="str">
        <f>VLOOKUP(B595,'[1]ART 2 A)'!A:E,5,FALSE)</f>
        <v>Ex.</v>
      </c>
      <c r="F595" s="12"/>
      <c r="G595" s="12" t="str">
        <f>VLOOKUP(B595,'[1]ART 3'!A:E,5,FALSE)</f>
        <v>Ex. Excepto: De forjar o estampar; de enrollar, curvar, plegar, enderezar o aplanar.</v>
      </c>
      <c r="H595" s="12" t="str">
        <f>VLOOKUP(B595,'[1]ART IV'!A:E,5,FALSE)</f>
        <v>Ex. Excepto: de forjar o estampar; de enrollar, curvar, plegar, enderezar o aplanar; de punzonar o entallar, incluso las combinadas de cizallar y punzonar</v>
      </c>
      <c r="I595" s="12"/>
      <c r="J595" s="12" t="str">
        <f>VLOOKUP(B595,'[1]ART 6'!A:E,5,FALSE)</f>
        <v>5 Únicamente: De forjar o estampar.</v>
      </c>
      <c r="K595" s="12" t="str">
        <f>VLOOKUP(B595,'[1]ART 7'!A:E,5,FALSE)</f>
        <v>Ex. Excepto: De enrollar, curvar, plegar, enderezar o aplanar; de punzonar o entallar, incluso las combinadas de cizallar y punzonar.</v>
      </c>
      <c r="L595" s="12"/>
      <c r="M595" s="12"/>
      <c r="N595" s="12" t="s">
        <v>1695</v>
      </c>
      <c r="O595" s="12"/>
      <c r="P595" s="12"/>
      <c r="Q595" s="12" t="s">
        <v>1696</v>
      </c>
      <c r="R595" s="12"/>
      <c r="S595" s="12" t="s">
        <v>1697</v>
      </c>
      <c r="T595" s="12" t="s">
        <v>1698</v>
      </c>
      <c r="U595" s="12"/>
      <c r="V595" s="12"/>
      <c r="W595" s="12"/>
      <c r="X595" s="12" t="s">
        <v>1698</v>
      </c>
      <c r="Y595" s="12"/>
      <c r="Z595" s="12"/>
      <c r="AA595" s="12"/>
      <c r="AB595" s="12"/>
      <c r="AC595" s="12"/>
      <c r="AD595" s="17"/>
    </row>
    <row r="596" spans="2:30" s="3" customFormat="1" ht="175.5" x14ac:dyDescent="0.25">
      <c r="B596" s="9" t="s">
        <v>1035</v>
      </c>
      <c r="C596" s="25" t="s">
        <v>1036</v>
      </c>
      <c r="D596" s="16" t="str">
        <f>VLOOKUP(B596,'[1]ART 1'!A:E,5,FALSE)</f>
        <v>Ex.</v>
      </c>
      <c r="E596" s="12" t="str">
        <f>VLOOKUP(B596,'[1]ART 2 A)'!A:E,5,FALSE)</f>
        <v>Ex.Excepto: De enrollar, curvar, plegar, enderezar o aplanar; cizallar; punzonar o entallar, incluso las combinadas de cizallar y punzonar.</v>
      </c>
      <c r="F596" s="12"/>
      <c r="G596" s="12" t="str">
        <f>VLOOKUP(B596,'[1]ART 3'!A:E,5,FALSE)</f>
        <v xml:space="preserve">Ex. </v>
      </c>
      <c r="H596" s="12"/>
      <c r="I596" s="12"/>
      <c r="J596" s="12"/>
      <c r="K596" s="12" t="str">
        <f>VLOOKUP(B596,'[1]ART 7'!A:E,5,FALSE)</f>
        <v>Ex. Excepto: De enrollar, curvar, plegar, enderezar o aplanar; de cizallar; de punzonar o entallar, incluso las combinadas de cizallar y punzonar.</v>
      </c>
      <c r="L596" s="12"/>
      <c r="M596" s="12"/>
      <c r="N596" s="12" t="s">
        <v>1699</v>
      </c>
      <c r="O596" s="12"/>
      <c r="P596" s="12"/>
      <c r="Q596" s="12"/>
      <c r="R596" s="12"/>
      <c r="S596" s="12"/>
      <c r="T596" s="12"/>
      <c r="U596" s="12"/>
      <c r="V596" s="12"/>
      <c r="W596" s="12"/>
      <c r="X596" s="12" t="s">
        <v>1700</v>
      </c>
      <c r="Y596" s="12"/>
      <c r="Z596" s="12"/>
      <c r="AA596" s="12"/>
      <c r="AB596" s="12"/>
      <c r="AC596" s="12"/>
      <c r="AD596" s="17"/>
    </row>
    <row r="597" spans="2:30" s="3" customFormat="1" ht="27" x14ac:dyDescent="0.25">
      <c r="B597" s="9" t="s">
        <v>1037</v>
      </c>
      <c r="C597" s="25" t="s">
        <v>1038</v>
      </c>
      <c r="D597" s="16"/>
      <c r="E597" s="12" t="str">
        <f>VLOOKUP(B597,'[1]ART 2 A)'!A:E,5,FALSE)</f>
        <v>Ex.</v>
      </c>
      <c r="F597" s="12"/>
      <c r="G597" s="12"/>
      <c r="H597" s="12"/>
      <c r="I597" s="12"/>
      <c r="J597" s="12"/>
      <c r="K597" s="12"/>
      <c r="L597" s="12"/>
      <c r="M597" s="12"/>
      <c r="N597" s="12" t="s">
        <v>1562</v>
      </c>
      <c r="O597" s="12"/>
      <c r="P597" s="12"/>
      <c r="Q597" s="12"/>
      <c r="R597" s="12"/>
      <c r="S597" s="12"/>
      <c r="T597" s="12"/>
      <c r="U597" s="12"/>
      <c r="V597" s="12"/>
      <c r="W597" s="12"/>
      <c r="X597" s="12"/>
      <c r="Y597" s="12"/>
      <c r="Z597" s="12"/>
      <c r="AA597" s="12"/>
      <c r="AB597" s="12"/>
      <c r="AC597" s="12"/>
      <c r="AD597" s="17"/>
    </row>
    <row r="598" spans="2:30" s="3" customFormat="1" ht="13.5" x14ac:dyDescent="0.25">
      <c r="B598" s="9" t="s">
        <v>1039</v>
      </c>
      <c r="C598" s="25" t="s">
        <v>1040</v>
      </c>
      <c r="D598" s="16"/>
      <c r="E598" s="12" t="str">
        <f>VLOOKUP(B598,'[1]ART 2 A)'!A:E,5,FALSE)</f>
        <v>Ex.</v>
      </c>
      <c r="F598" s="12"/>
      <c r="G598" s="12" t="str">
        <f>VLOOKUP(B598,'[1]ART 3'!A:E,5,FALSE)</f>
        <v xml:space="preserve">Ex. </v>
      </c>
      <c r="H598" s="12"/>
      <c r="I598" s="12"/>
      <c r="J598" s="12"/>
      <c r="K598" s="12"/>
      <c r="L598" s="12"/>
      <c r="M598" s="12"/>
      <c r="N598" s="12"/>
      <c r="O598" s="12"/>
      <c r="P598" s="12" t="s">
        <v>1562</v>
      </c>
      <c r="Q598" s="12"/>
      <c r="R598" s="12"/>
      <c r="S598" s="12"/>
      <c r="T598" s="12"/>
      <c r="U598" s="12"/>
      <c r="V598" s="12"/>
      <c r="W598" s="12"/>
      <c r="X598" s="12" t="s">
        <v>1562</v>
      </c>
      <c r="Y598" s="12"/>
      <c r="Z598" s="12"/>
      <c r="AA598" s="12"/>
      <c r="AB598" s="12"/>
      <c r="AC598" s="12"/>
      <c r="AD598" s="17"/>
    </row>
    <row r="599" spans="2:30" s="3" customFormat="1" ht="13.5" x14ac:dyDescent="0.25">
      <c r="B599" s="9" t="s">
        <v>1041</v>
      </c>
      <c r="C599" s="25" t="s">
        <v>1042</v>
      </c>
      <c r="D599" s="16"/>
      <c r="E599" s="12" t="str">
        <f>VLOOKUP(B599,'[1]ART 2 A)'!A:E,5,FALSE)</f>
        <v>Ex.</v>
      </c>
      <c r="F599" s="12"/>
      <c r="G599" s="12"/>
      <c r="H599" s="12"/>
      <c r="I599" s="12"/>
      <c r="J599" s="12"/>
      <c r="K599" s="12"/>
      <c r="L599" s="12"/>
      <c r="M599" s="12"/>
      <c r="N599" s="12"/>
      <c r="O599" s="12"/>
      <c r="P599" s="12"/>
      <c r="Q599" s="12"/>
      <c r="R599" s="12"/>
      <c r="S599" s="12"/>
      <c r="T599" s="12"/>
      <c r="U599" s="12"/>
      <c r="V599" s="12"/>
      <c r="W599" s="12"/>
      <c r="X599" s="12" t="s">
        <v>1562</v>
      </c>
      <c r="Y599" s="12"/>
      <c r="Z599" s="12"/>
      <c r="AA599" s="12"/>
      <c r="AB599" s="12"/>
      <c r="AC599" s="12"/>
      <c r="AD599" s="17"/>
    </row>
    <row r="600" spans="2:30" s="3" customFormat="1" ht="67.5" x14ac:dyDescent="0.25">
      <c r="B600" s="9" t="s">
        <v>1043</v>
      </c>
      <c r="C600" s="25" t="s">
        <v>1044</v>
      </c>
      <c r="D600" s="16" t="str">
        <f>VLOOKUP(B600,'[1]ART 1'!A:E,5,FALSE)</f>
        <v>Ex.</v>
      </c>
      <c r="E600" s="12" t="str">
        <f>VLOOKUP(B600,'[1]ART 2 A)'!A:E,5,FALSE)</f>
        <v>Ex.</v>
      </c>
      <c r="F600" s="12"/>
      <c r="G600" s="12" t="str">
        <f>VLOOKUP(B600,'[1]ART 3'!A:E,5,FALSE)</f>
        <v xml:space="preserve">Ex. </v>
      </c>
      <c r="H600" s="12"/>
      <c r="I600" s="12"/>
      <c r="J600" s="12"/>
      <c r="K600" s="12"/>
      <c r="L600" s="12"/>
      <c r="M600" s="12"/>
      <c r="N600" s="12"/>
      <c r="O600" s="12"/>
      <c r="P600" s="12"/>
      <c r="Q600" s="12"/>
      <c r="R600" s="12"/>
      <c r="S600" s="12"/>
      <c r="T600" s="12"/>
      <c r="U600" s="12"/>
      <c r="V600" s="12"/>
      <c r="W600" s="12"/>
      <c r="X600" s="12" t="s">
        <v>1562</v>
      </c>
      <c r="Y600" s="12"/>
      <c r="Z600" s="12"/>
      <c r="AA600" s="12"/>
      <c r="AB600" s="12"/>
      <c r="AC600" s="12"/>
      <c r="AD600" s="17"/>
    </row>
    <row r="601" spans="2:30" s="3" customFormat="1" ht="27" x14ac:dyDescent="0.25">
      <c r="B601" s="9" t="s">
        <v>1045</v>
      </c>
      <c r="C601" s="25" t="s">
        <v>1046</v>
      </c>
      <c r="D601" s="16" t="str">
        <f>VLOOKUP(B601,'[1]ART 1'!A:E,5,FALSE)</f>
        <v>Ex.</v>
      </c>
      <c r="E601" s="12" t="str">
        <f>VLOOKUP(B601,'[1]ART 2 A)'!A:E,5,FALSE)</f>
        <v>Ex.</v>
      </c>
      <c r="F601" s="12"/>
      <c r="G601" s="12"/>
      <c r="H601" s="12" t="str">
        <f>VLOOKUP(B601,'[1]ART IV'!A:E,5,FALSE)</f>
        <v xml:space="preserve">Ex. </v>
      </c>
      <c r="I601" s="12"/>
      <c r="J601" s="12"/>
      <c r="K601" s="12"/>
      <c r="L601" s="12"/>
      <c r="M601" s="12"/>
      <c r="N601" s="12"/>
      <c r="O601" s="12"/>
      <c r="P601" s="12"/>
      <c r="Q601" s="12"/>
      <c r="R601" s="12"/>
      <c r="S601" s="12"/>
      <c r="T601" s="12"/>
      <c r="U601" s="12"/>
      <c r="V601" s="12"/>
      <c r="W601" s="12"/>
      <c r="X601" s="12" t="s">
        <v>1562</v>
      </c>
      <c r="Y601" s="12"/>
      <c r="Z601" s="12"/>
      <c r="AA601" s="12"/>
      <c r="AB601" s="12"/>
      <c r="AC601" s="12"/>
      <c r="AD601" s="17"/>
    </row>
    <row r="602" spans="2:30" s="3" customFormat="1" ht="40.5" x14ac:dyDescent="0.25">
      <c r="B602" s="9" t="s">
        <v>1047</v>
      </c>
      <c r="C602" s="25" t="s">
        <v>1048</v>
      </c>
      <c r="D602" s="16" t="str">
        <f>VLOOKUP(B602,'[1]ART 1'!A:E,5,FALSE)</f>
        <v>Ex.</v>
      </c>
      <c r="E602" s="12" t="str">
        <f>VLOOKUP(B602,'[1]ART 2 A)'!A:E,5,FALSE)</f>
        <v>Ex.</v>
      </c>
      <c r="F602" s="12"/>
      <c r="G602" s="12"/>
      <c r="H602" s="12"/>
      <c r="I602" s="12"/>
      <c r="J602" s="12"/>
      <c r="K602" s="12"/>
      <c r="L602" s="12"/>
      <c r="M602" s="12"/>
      <c r="N602" s="12"/>
      <c r="O602" s="12"/>
      <c r="P602" s="12"/>
      <c r="Q602" s="12"/>
      <c r="R602" s="12"/>
      <c r="S602" s="12"/>
      <c r="T602" s="12"/>
      <c r="U602" s="12"/>
      <c r="V602" s="12"/>
      <c r="W602" s="12"/>
      <c r="X602" s="12" t="s">
        <v>1562</v>
      </c>
      <c r="Y602" s="12"/>
      <c r="Z602" s="12"/>
      <c r="AA602" s="12"/>
      <c r="AB602" s="12"/>
      <c r="AC602" s="12"/>
      <c r="AD602" s="17"/>
    </row>
    <row r="603" spans="2:30" s="3" customFormat="1" ht="13.5" x14ac:dyDescent="0.25">
      <c r="B603" s="9" t="s">
        <v>1049</v>
      </c>
      <c r="C603" s="25" t="s">
        <v>53</v>
      </c>
      <c r="D603" s="16" t="str">
        <f>VLOOKUP(B603,'[1]ART 1'!A:E,5,FALSE)</f>
        <v>Ex.</v>
      </c>
      <c r="E603" s="12" t="str">
        <f>VLOOKUP(B603,'[1]ART 2 A)'!A:E,5,FALSE)</f>
        <v>Ex.</v>
      </c>
      <c r="F603" s="12"/>
      <c r="G603" s="12"/>
      <c r="H603" s="12"/>
      <c r="I603" s="12"/>
      <c r="J603" s="12"/>
      <c r="K603" s="12"/>
      <c r="L603" s="12"/>
      <c r="M603" s="12"/>
      <c r="N603" s="12"/>
      <c r="O603" s="12"/>
      <c r="P603" s="12"/>
      <c r="Q603" s="12"/>
      <c r="R603" s="12"/>
      <c r="S603" s="12"/>
      <c r="T603" s="12"/>
      <c r="U603" s="12"/>
      <c r="V603" s="12"/>
      <c r="W603" s="12"/>
      <c r="X603" s="12" t="s">
        <v>1562</v>
      </c>
      <c r="Y603" s="12"/>
      <c r="Z603" s="12"/>
      <c r="AA603" s="12"/>
      <c r="AB603" s="12"/>
      <c r="AC603" s="12"/>
      <c r="AD603" s="17"/>
    </row>
    <row r="604" spans="2:30" s="3" customFormat="1" ht="27" x14ac:dyDescent="0.25">
      <c r="B604" s="9" t="s">
        <v>1050</v>
      </c>
      <c r="C604" s="25" t="s">
        <v>1051</v>
      </c>
      <c r="D604" s="16" t="str">
        <f>VLOOKUP(B604,'[1]ART 1'!A:E,5,FALSE)</f>
        <v>Ex.</v>
      </c>
      <c r="E604" s="12" t="str">
        <f>VLOOKUP(B604,'[1]ART 2 A)'!A:E,5,FALSE)</f>
        <v>Ex.</v>
      </c>
      <c r="F604" s="12"/>
      <c r="G604" s="12"/>
      <c r="H604" s="12"/>
      <c r="I604" s="12"/>
      <c r="J604" s="12"/>
      <c r="K604" s="12"/>
      <c r="L604" s="12"/>
      <c r="M604" s="12"/>
      <c r="N604" s="12"/>
      <c r="O604" s="12"/>
      <c r="P604" s="12"/>
      <c r="Q604" s="12"/>
      <c r="R604" s="12"/>
      <c r="S604" s="12"/>
      <c r="T604" s="12"/>
      <c r="U604" s="12"/>
      <c r="V604" s="12"/>
      <c r="W604" s="12"/>
      <c r="X604" s="12" t="s">
        <v>1562</v>
      </c>
      <c r="Y604" s="12"/>
      <c r="Z604" s="12"/>
      <c r="AA604" s="12"/>
      <c r="AB604" s="12"/>
      <c r="AC604" s="12"/>
      <c r="AD604" s="17"/>
    </row>
    <row r="605" spans="2:30" s="3" customFormat="1" ht="27" x14ac:dyDescent="0.25">
      <c r="B605" s="9" t="s">
        <v>1052</v>
      </c>
      <c r="C605" s="25" t="s">
        <v>1053</v>
      </c>
      <c r="D605" s="16" t="str">
        <f>VLOOKUP(B605,'[1]ART 1'!A:E,5,FALSE)</f>
        <v>Ex.</v>
      </c>
      <c r="E605" s="12" t="str">
        <f>VLOOKUP(B605,'[1]ART 2 A)'!A:E,5,FALSE)</f>
        <v>Ex.</v>
      </c>
      <c r="F605" s="12"/>
      <c r="G605" s="12" t="str">
        <f>VLOOKUP(B605,'[1]ART 3'!A:E,5,FALSE)</f>
        <v xml:space="preserve">Ex. </v>
      </c>
      <c r="H605" s="12"/>
      <c r="I605" s="12"/>
      <c r="J605" s="12"/>
      <c r="K605" s="12"/>
      <c r="L605" s="12"/>
      <c r="M605" s="12"/>
      <c r="N605" s="12"/>
      <c r="O605" s="12"/>
      <c r="P605" s="12"/>
      <c r="Q605" s="12"/>
      <c r="R605" s="12"/>
      <c r="S605" s="12"/>
      <c r="T605" s="12"/>
      <c r="U605" s="12"/>
      <c r="V605" s="12"/>
      <c r="W605" s="12"/>
      <c r="X605" s="12" t="s">
        <v>1562</v>
      </c>
      <c r="Y605" s="12"/>
      <c r="Z605" s="12"/>
      <c r="AA605" s="12"/>
      <c r="AB605" s="12"/>
      <c r="AC605" s="12"/>
      <c r="AD605" s="17"/>
    </row>
    <row r="606" spans="2:30" s="3" customFormat="1" ht="67.5" x14ac:dyDescent="0.25">
      <c r="B606" s="9" t="s">
        <v>1054</v>
      </c>
      <c r="C606" s="25" t="s">
        <v>1055</v>
      </c>
      <c r="D606" s="16" t="str">
        <f>VLOOKUP(B606,'[1]ART 1'!A:E,5,FALSE)</f>
        <v>5</v>
      </c>
      <c r="E606" s="12" t="str">
        <f>VLOOKUP(B606,'[1]ART 2 A)'!A:E,5,FALSE)</f>
        <v>Ex.</v>
      </c>
      <c r="F606" s="12"/>
      <c r="G606" s="12" t="str">
        <f>VLOOKUP(B606,'[1]ART 3'!A:E,5,FALSE)</f>
        <v xml:space="preserve">Ex. </v>
      </c>
      <c r="H606" s="12"/>
      <c r="I606" s="12"/>
      <c r="J606" s="12"/>
      <c r="K606" s="12"/>
      <c r="L606" s="12"/>
      <c r="M606" s="12"/>
      <c r="N606" s="12"/>
      <c r="O606" s="12"/>
      <c r="P606" s="12"/>
      <c r="Q606" s="12"/>
      <c r="R606" s="12"/>
      <c r="S606" s="12"/>
      <c r="T606" s="12"/>
      <c r="U606" s="12"/>
      <c r="V606" s="12"/>
      <c r="W606" s="12"/>
      <c r="X606" s="12" t="s">
        <v>1562</v>
      </c>
      <c r="Y606" s="12" t="s">
        <v>1570</v>
      </c>
      <c r="Z606" s="12"/>
      <c r="AA606" s="12"/>
      <c r="AB606" s="12"/>
      <c r="AC606" s="12"/>
      <c r="AD606" s="17"/>
    </row>
    <row r="607" spans="2:30" s="3" customFormat="1" ht="27" x14ac:dyDescent="0.25">
      <c r="B607" s="9" t="s">
        <v>1056</v>
      </c>
      <c r="C607" s="25" t="s">
        <v>1057</v>
      </c>
      <c r="D607" s="16" t="str">
        <f>VLOOKUP(B607,'[1]ART 1'!A:E,5,FALSE)</f>
        <v>Ex.</v>
      </c>
      <c r="E607" s="12" t="str">
        <f>VLOOKUP(B607,'[1]ART 2 A)'!A:E,5,FALSE)</f>
        <v>Ex.</v>
      </c>
      <c r="F607" s="12"/>
      <c r="G607" s="12" t="str">
        <f>VLOOKUP(B607,'[1]ART 3'!A:E,5,FALSE)</f>
        <v xml:space="preserve">Ex. </v>
      </c>
      <c r="H607" s="12"/>
      <c r="I607" s="12"/>
      <c r="J607" s="12"/>
      <c r="K607" s="12"/>
      <c r="L607" s="12"/>
      <c r="M607" s="12"/>
      <c r="N607" s="12"/>
      <c r="O607" s="12"/>
      <c r="P607" s="12"/>
      <c r="Q607" s="12"/>
      <c r="R607" s="12"/>
      <c r="S607" s="12"/>
      <c r="T607" s="12"/>
      <c r="U607" s="12"/>
      <c r="V607" s="12"/>
      <c r="W607" s="12"/>
      <c r="X607" s="12" t="s">
        <v>1562</v>
      </c>
      <c r="Y607" s="12"/>
      <c r="Z607" s="12"/>
      <c r="AA607" s="12"/>
      <c r="AB607" s="12"/>
      <c r="AC607" s="12"/>
      <c r="AD607" s="17"/>
    </row>
    <row r="608" spans="2:30" s="3" customFormat="1" ht="13.5" x14ac:dyDescent="0.25">
      <c r="B608" s="9" t="s">
        <v>1058</v>
      </c>
      <c r="C608" s="25" t="s">
        <v>53</v>
      </c>
      <c r="D608" s="16" t="str">
        <f>VLOOKUP(B608,'[1]ART 1'!A:E,5,FALSE)</f>
        <v>Ex.</v>
      </c>
      <c r="E608" s="12" t="str">
        <f>VLOOKUP(B608,'[1]ART 2 A)'!A:E,5,FALSE)</f>
        <v>Ex.</v>
      </c>
      <c r="F608" s="12"/>
      <c r="G608" s="12"/>
      <c r="H608" s="12"/>
      <c r="I608" s="12"/>
      <c r="J608" s="12"/>
      <c r="K608" s="12"/>
      <c r="L608" s="12"/>
      <c r="M608" s="12"/>
      <c r="N608" s="12" t="s">
        <v>1562</v>
      </c>
      <c r="O608" s="12"/>
      <c r="P608" s="12"/>
      <c r="Q608" s="12"/>
      <c r="R608" s="12"/>
      <c r="S608" s="12"/>
      <c r="T608" s="12"/>
      <c r="U608" s="12"/>
      <c r="V608" s="12"/>
      <c r="W608" s="12"/>
      <c r="X608" s="12" t="s">
        <v>1562</v>
      </c>
      <c r="Y608" s="12"/>
      <c r="Z608" s="12"/>
      <c r="AA608" s="12"/>
      <c r="AB608" s="12"/>
      <c r="AC608" s="12"/>
      <c r="AD608" s="17"/>
    </row>
    <row r="609" spans="2:30" s="3" customFormat="1" ht="13.5" x14ac:dyDescent="0.25">
      <c r="B609" s="9" t="s">
        <v>1059</v>
      </c>
      <c r="C609" s="25" t="s">
        <v>1060</v>
      </c>
      <c r="D609" s="16" t="str">
        <f>VLOOKUP(B609,'[1]ART 1'!A:E,5,FALSE)</f>
        <v>Ex.</v>
      </c>
      <c r="E609" s="12" t="str">
        <f>VLOOKUP(B609,'[1]ART 2 A)'!A:E,5,FALSE)</f>
        <v>Ex.</v>
      </c>
      <c r="F609" s="12"/>
      <c r="G609" s="12"/>
      <c r="H609" s="12" t="str">
        <f>VLOOKUP(B609,'[1]ART IV'!A:E,5,FALSE)</f>
        <v xml:space="preserve">Ex. </v>
      </c>
      <c r="I609" s="12"/>
      <c r="J609" s="12"/>
      <c r="K609" s="12"/>
      <c r="L609" s="12"/>
      <c r="M609" s="12"/>
      <c r="N609" s="12"/>
      <c r="O609" s="12"/>
      <c r="P609" s="12"/>
      <c r="Q609" s="12" t="s">
        <v>1562</v>
      </c>
      <c r="R609" s="12"/>
      <c r="S609" s="12"/>
      <c r="T609" s="12"/>
      <c r="U609" s="12"/>
      <c r="V609" s="12"/>
      <c r="W609" s="12"/>
      <c r="X609" s="12" t="s">
        <v>1562</v>
      </c>
      <c r="Y609" s="12"/>
      <c r="Z609" s="12"/>
      <c r="AA609" s="12"/>
      <c r="AB609" s="12"/>
      <c r="AC609" s="12"/>
      <c r="AD609" s="17"/>
    </row>
    <row r="610" spans="2:30" s="3" customFormat="1" ht="409.5" x14ac:dyDescent="0.25">
      <c r="B610" s="9" t="s">
        <v>1061</v>
      </c>
      <c r="C610" s="25" t="s">
        <v>1062</v>
      </c>
      <c r="D610" s="16"/>
      <c r="E610" s="12" t="str">
        <f>VLOOKUP(B610,'[1]ART 2 A)'!A:E,5,FALSE)</f>
        <v>Ex.Excepto: Perforadoras accionadas por palanca, para dos perforaciones en distancias de 7 u 8 cm, con peso unitario inferior o igual a 1 kg; máquinas de escribir automáticas electrónicas; máquinas de escribir automáticas; marcadores por impresión directa o mediante cinta; agendas con mecanismo selector alfabético; separadoras o desintercaladoras de formas continuas, para proceso de datos; cajas registradoras sin dispositivo totalizador; aparatos para transferir a documentos impresiones de tarjetas plásticas de crédito y/o identificación; máquinas de imprimir direcciones o estampar placas de direcciones.</v>
      </c>
      <c r="F610" s="12"/>
      <c r="G610" s="12"/>
      <c r="H610" s="12" t="str">
        <f>VLOOKUP(B610,'[1]ART IV'!A:E,5,FALSE)</f>
        <v>Ex. Excepto: Perforadoras accionadas por palanca, para dos perforaciones en distancias de 7 u 8 cm, con peso unitario inferior o igual a 1 kg.; engrapadoras o perforadoras; máquinas de escribir automáticas electrónicas; máquinas de escribir automáticas; las demás máquinas de escribir, eléctricas.</v>
      </c>
      <c r="I610" s="12"/>
      <c r="J610" s="12"/>
      <c r="K610" s="12"/>
      <c r="L610" s="12"/>
      <c r="M610" s="12"/>
      <c r="N610" s="12"/>
      <c r="O610" s="12"/>
      <c r="P610" s="12"/>
      <c r="Q610" s="12"/>
      <c r="R610" s="12"/>
      <c r="S610" s="12"/>
      <c r="T610" s="12"/>
      <c r="U610" s="12"/>
      <c r="V610" s="12"/>
      <c r="W610" s="12"/>
      <c r="X610" s="12" t="s">
        <v>1562</v>
      </c>
      <c r="Y610" s="12"/>
      <c r="Z610" s="12"/>
      <c r="AA610" s="12"/>
      <c r="AB610" s="12"/>
      <c r="AC610" s="12"/>
      <c r="AD610" s="17"/>
    </row>
    <row r="611" spans="2:30" s="3" customFormat="1" ht="27" x14ac:dyDescent="0.25">
      <c r="B611" s="9" t="s">
        <v>1063</v>
      </c>
      <c r="C611" s="25" t="s">
        <v>1064</v>
      </c>
      <c r="D611" s="16"/>
      <c r="E611" s="12"/>
      <c r="F611" s="12"/>
      <c r="G611" s="12"/>
      <c r="H611" s="12"/>
      <c r="I611" s="12" t="str">
        <f>VLOOKUP(B611,'[1]ART 5'!A:E,5,FALSE)</f>
        <v xml:space="preserve">5 </v>
      </c>
      <c r="J611" s="12"/>
      <c r="K611" s="12"/>
      <c r="L611" s="12"/>
      <c r="M611" s="12"/>
      <c r="N611" s="12"/>
      <c r="O611" s="12"/>
      <c r="P611" s="12"/>
      <c r="Q611" s="12"/>
      <c r="R611" s="12"/>
      <c r="S611" s="12"/>
      <c r="T611" s="12"/>
      <c r="U611" s="12"/>
      <c r="V611" s="12"/>
      <c r="W611" s="12"/>
      <c r="X611" s="12"/>
      <c r="Y611" s="12"/>
      <c r="Z611" s="12"/>
      <c r="AA611" s="12"/>
      <c r="AB611" s="12"/>
      <c r="AC611" s="12"/>
      <c r="AD611" s="17"/>
    </row>
    <row r="612" spans="2:30" s="3" customFormat="1" ht="337.5" x14ac:dyDescent="0.25">
      <c r="B612" s="9" t="s">
        <v>1065</v>
      </c>
      <c r="C612" s="25" t="s">
        <v>1066</v>
      </c>
      <c r="D612" s="16"/>
      <c r="E612" s="12"/>
      <c r="F612" s="12"/>
      <c r="G612" s="12" t="str">
        <f>VLOOKUP(B612,'[1]ART 3'!A:E,5,FALSE)</f>
        <v>Ex. Excepto: Quebrantadores y trituradores de dos o más cilindros; quebrantadores de mandíbulas y trituradores de muelas; quebrantadores giratorios de conos, con diámetro de tazón inferior o igual a 1,200 mm; trituradores de navajas.</v>
      </c>
      <c r="H612" s="12"/>
      <c r="I612" s="12"/>
      <c r="J612" s="12"/>
      <c r="K612" s="12" t="str">
        <f>VLOOKUP(B612,'[1]ART 7'!A:E,5,FALSE)</f>
        <v>Ex. Únicamente: Quebrantadores de mandíbulas y trituradores de muelas; quebrantadores giratorios de conos, con diámetro de tazón inferior o igual a 1,200 mm; trituradores de martillos, de percusión o de choque.</v>
      </c>
      <c r="L612" s="12"/>
      <c r="M612" s="12"/>
      <c r="N612" s="12" t="s">
        <v>1701</v>
      </c>
      <c r="O612" s="12" t="s">
        <v>1702</v>
      </c>
      <c r="P612" s="12"/>
      <c r="Q612" s="12"/>
      <c r="R612" s="12"/>
      <c r="S612" s="12"/>
      <c r="T612" s="12"/>
      <c r="U612" s="12"/>
      <c r="V612" s="12"/>
      <c r="W612" s="12"/>
      <c r="X612" s="12"/>
      <c r="Y612" s="12"/>
      <c r="Z612" s="12"/>
      <c r="AA612" s="12"/>
      <c r="AB612" s="12"/>
      <c r="AC612" s="12"/>
      <c r="AD612" s="17"/>
    </row>
    <row r="613" spans="2:30" s="3" customFormat="1" ht="13.5" x14ac:dyDescent="0.25">
      <c r="B613" s="9" t="s">
        <v>1067</v>
      </c>
      <c r="C613" s="25" t="s">
        <v>1068</v>
      </c>
      <c r="D613" s="16"/>
      <c r="E613" s="12"/>
      <c r="F613" s="12"/>
      <c r="G613" s="12"/>
      <c r="H613" s="12"/>
      <c r="I613" s="12"/>
      <c r="J613" s="12"/>
      <c r="K613" s="12"/>
      <c r="L613" s="12"/>
      <c r="M613" s="12"/>
      <c r="N613" s="12"/>
      <c r="O613" s="12"/>
      <c r="P613" s="12"/>
      <c r="Q613" s="12"/>
      <c r="R613" s="12"/>
      <c r="S613" s="12"/>
      <c r="T613" s="12"/>
      <c r="U613" s="12"/>
      <c r="V613" s="12"/>
      <c r="W613" s="12"/>
      <c r="X613" s="12" t="s">
        <v>1562</v>
      </c>
      <c r="Y613" s="12"/>
      <c r="Z613" s="12"/>
      <c r="AA613" s="12"/>
      <c r="AB613" s="12"/>
      <c r="AC613" s="12"/>
      <c r="AD613" s="17"/>
    </row>
    <row r="614" spans="2:30" s="3" customFormat="1" ht="54" x14ac:dyDescent="0.25">
      <c r="B614" s="9" t="s">
        <v>1069</v>
      </c>
      <c r="C614" s="25" t="s">
        <v>1070</v>
      </c>
      <c r="D614" s="16"/>
      <c r="E614" s="12"/>
      <c r="F614" s="12"/>
      <c r="G614" s="12"/>
      <c r="H614" s="12"/>
      <c r="I614" s="12"/>
      <c r="J614" s="12"/>
      <c r="K614" s="12"/>
      <c r="L614" s="12"/>
      <c r="M614" s="12"/>
      <c r="N614" s="12" t="s">
        <v>1562</v>
      </c>
      <c r="O614" s="12"/>
      <c r="P614" s="12"/>
      <c r="Q614" s="12"/>
      <c r="R614" s="12"/>
      <c r="S614" s="12"/>
      <c r="T614" s="12"/>
      <c r="U614" s="12"/>
      <c r="V614" s="12"/>
      <c r="W614" s="12"/>
      <c r="X614" s="12" t="s">
        <v>1562</v>
      </c>
      <c r="Y614" s="12"/>
      <c r="Z614" s="12"/>
      <c r="AA614" s="12"/>
      <c r="AB614" s="12"/>
      <c r="AC614" s="12"/>
      <c r="AD614" s="17"/>
    </row>
    <row r="615" spans="2:30" s="3" customFormat="1" ht="94.5" x14ac:dyDescent="0.25">
      <c r="B615" s="9" t="s">
        <v>1071</v>
      </c>
      <c r="C615" s="25" t="s">
        <v>660</v>
      </c>
      <c r="D615" s="16"/>
      <c r="E615" s="12" t="str">
        <f>VLOOKUP(B615,'[1]ART 2 A)'!A:E,5,FALSE)</f>
        <v>Ex.Excepto: Mecanismos seleccionadores o distribuidores.</v>
      </c>
      <c r="F615" s="12"/>
      <c r="G615" s="12"/>
      <c r="H615" s="12"/>
      <c r="I615" s="12"/>
      <c r="J615" s="12"/>
      <c r="K615" s="12" t="str">
        <f>VLOOKUP(B615,'[1]ART 7'!A:E,5,FALSE)</f>
        <v>Ex. Excepto: Mecanismos seleccionadores o distribuidores.</v>
      </c>
      <c r="L615" s="12"/>
      <c r="M615" s="12"/>
      <c r="N615" s="12"/>
      <c r="O615" s="12"/>
      <c r="P615" s="12"/>
      <c r="Q615" s="12"/>
      <c r="R615" s="12"/>
      <c r="S615" s="12"/>
      <c r="T615" s="12"/>
      <c r="U615" s="12"/>
      <c r="V615" s="12"/>
      <c r="W615" s="12"/>
      <c r="X615" s="12"/>
      <c r="Y615" s="12"/>
      <c r="Z615" s="12"/>
      <c r="AA615" s="12"/>
      <c r="AB615" s="12"/>
      <c r="AC615" s="12"/>
      <c r="AD615" s="17"/>
    </row>
    <row r="616" spans="2:30" s="3" customFormat="1" ht="40.5" x14ac:dyDescent="0.25">
      <c r="B616" s="9" t="s">
        <v>1072</v>
      </c>
      <c r="C616" s="25" t="s">
        <v>1073</v>
      </c>
      <c r="D616" s="16" t="str">
        <f>VLOOKUP(B616,'[1]ART 1'!A:E,5,FALSE)</f>
        <v>Ex.</v>
      </c>
      <c r="E616" s="12" t="str">
        <f>VLOOKUP(B616,'[1]ART 2 A)'!A:E,5,FALSE)</f>
        <v>Ex.</v>
      </c>
      <c r="F616" s="12"/>
      <c r="G616" s="12" t="str">
        <f>VLOOKUP(B616,'[1]ART 3'!A:E,5,FALSE)</f>
        <v xml:space="preserve">Ex. </v>
      </c>
      <c r="H616" s="12" t="str">
        <f>VLOOKUP(B616,'[1]ART IV'!A:E,5,FALSE)</f>
        <v xml:space="preserve">Ex. </v>
      </c>
      <c r="I616" s="12"/>
      <c r="J616" s="12"/>
      <c r="K616" s="12"/>
      <c r="L616" s="12"/>
      <c r="M616" s="12"/>
      <c r="N616" s="12"/>
      <c r="O616" s="12"/>
      <c r="P616" s="12" t="s">
        <v>1562</v>
      </c>
      <c r="Q616" s="12"/>
      <c r="R616" s="12"/>
      <c r="S616" s="12"/>
      <c r="T616" s="12"/>
      <c r="U616" s="12"/>
      <c r="V616" s="12"/>
      <c r="W616" s="12"/>
      <c r="X616" s="12" t="s">
        <v>1562</v>
      </c>
      <c r="Y616" s="12"/>
      <c r="Z616" s="12"/>
      <c r="AA616" s="12"/>
      <c r="AB616" s="12"/>
      <c r="AC616" s="12"/>
      <c r="AD616" s="17"/>
    </row>
    <row r="617" spans="2:30" s="3" customFormat="1" ht="40.5" x14ac:dyDescent="0.25">
      <c r="B617" s="9" t="s">
        <v>1074</v>
      </c>
      <c r="C617" s="25" t="s">
        <v>1075</v>
      </c>
      <c r="D617" s="16" t="str">
        <f>VLOOKUP(B617,'[1]ART 1'!A:E,5,FALSE)</f>
        <v>Ex.</v>
      </c>
      <c r="E617" s="12" t="str">
        <f>VLOOKUP(B617,'[1]ART 2 A)'!A:E,5,FALSE)</f>
        <v>Ex.</v>
      </c>
      <c r="F617" s="12"/>
      <c r="G617" s="12"/>
      <c r="H617" s="12"/>
      <c r="I617" s="12"/>
      <c r="J617" s="12"/>
      <c r="K617" s="12"/>
      <c r="L617" s="12"/>
      <c r="M617" s="12"/>
      <c r="N617" s="12" t="s">
        <v>1562</v>
      </c>
      <c r="O617" s="12"/>
      <c r="P617" s="12"/>
      <c r="Q617" s="12"/>
      <c r="R617" s="12"/>
      <c r="S617" s="12"/>
      <c r="T617" s="12"/>
      <c r="U617" s="12"/>
      <c r="V617" s="12"/>
      <c r="W617" s="12"/>
      <c r="X617" s="12" t="s">
        <v>1562</v>
      </c>
      <c r="Y617" s="12"/>
      <c r="Z617" s="12"/>
      <c r="AA617" s="12"/>
      <c r="AB617" s="12"/>
      <c r="AC617" s="12"/>
      <c r="AD617" s="17"/>
    </row>
    <row r="618" spans="2:30" s="3" customFormat="1" ht="67.5" x14ac:dyDescent="0.25">
      <c r="B618" s="9" t="s">
        <v>1076</v>
      </c>
      <c r="C618" s="25" t="s">
        <v>1077</v>
      </c>
      <c r="D618" s="16" t="str">
        <f>VLOOKUP(B618,'[1]ART 1'!A:E,5,FALSE)</f>
        <v>Ex.</v>
      </c>
      <c r="E618" s="12" t="str">
        <f>VLOOKUP(B618,'[1]ART 2 A)'!A:E,5,FALSE)</f>
        <v>Ex.</v>
      </c>
      <c r="F618" s="12"/>
      <c r="G618" s="12" t="str">
        <f>VLOOKUP(B618,'[1]ART 3'!A:E,5,FALSE)</f>
        <v xml:space="preserve">Ex. </v>
      </c>
      <c r="H618" s="12" t="str">
        <f>VLOOKUP(B618,'[1]ART IV'!A:E,5,FALSE)</f>
        <v xml:space="preserve">Ex. </v>
      </c>
      <c r="I618" s="12"/>
      <c r="J618" s="12"/>
      <c r="K618" s="12"/>
      <c r="L618" s="12"/>
      <c r="M618" s="12"/>
      <c r="N618" s="12"/>
      <c r="O618" s="12"/>
      <c r="P618" s="12"/>
      <c r="Q618" s="12"/>
      <c r="R618" s="12"/>
      <c r="S618" s="12"/>
      <c r="T618" s="12"/>
      <c r="U618" s="12"/>
      <c r="V618" s="12"/>
      <c r="W618" s="12"/>
      <c r="X618" s="12" t="s">
        <v>1562</v>
      </c>
      <c r="Y618" s="12"/>
      <c r="Z618" s="12"/>
      <c r="AA618" s="12"/>
      <c r="AB618" s="12"/>
      <c r="AC618" s="12"/>
      <c r="AD618" s="17"/>
    </row>
    <row r="619" spans="2:30" s="3" customFormat="1" ht="67.5" x14ac:dyDescent="0.25">
      <c r="B619" s="9" t="s">
        <v>1078</v>
      </c>
      <c r="C619" s="25" t="s">
        <v>1079</v>
      </c>
      <c r="D619" s="16"/>
      <c r="E619" s="12" t="str">
        <f>VLOOKUP(B619,'[1]ART 2 A)'!A:E,5,FALSE)</f>
        <v>Ex.</v>
      </c>
      <c r="F619" s="12"/>
      <c r="G619" s="12"/>
      <c r="H619" s="12"/>
      <c r="I619" s="12"/>
      <c r="J619" s="12"/>
      <c r="K619" s="12"/>
      <c r="L619" s="12"/>
      <c r="M619" s="12"/>
      <c r="N619" s="12" t="s">
        <v>1562</v>
      </c>
      <c r="O619" s="12"/>
      <c r="P619" s="12"/>
      <c r="Q619" s="12" t="s">
        <v>1562</v>
      </c>
      <c r="R619" s="12"/>
      <c r="S619" s="12"/>
      <c r="T619" s="12"/>
      <c r="U619" s="12"/>
      <c r="V619" s="12"/>
      <c r="W619" s="12"/>
      <c r="X619" s="12" t="s">
        <v>1562</v>
      </c>
      <c r="Y619" s="12"/>
      <c r="Z619" s="12"/>
      <c r="AA619" s="12"/>
      <c r="AB619" s="12"/>
      <c r="AC619" s="12"/>
      <c r="AD619" s="17"/>
    </row>
    <row r="620" spans="2:30" s="3" customFormat="1" ht="81" x14ac:dyDescent="0.25">
      <c r="B620" s="9" t="s">
        <v>1080</v>
      </c>
      <c r="C620" s="25" t="s">
        <v>1081</v>
      </c>
      <c r="D620" s="16"/>
      <c r="E620" s="12"/>
      <c r="F620" s="12"/>
      <c r="G620" s="12" t="str">
        <f>VLOOKUP(B620,'[1]ART 3'!A:E,5,FALSE)</f>
        <v xml:space="preserve">Ex. </v>
      </c>
      <c r="H620" s="12" t="str">
        <f>VLOOKUP(B620,'[1]ART IV'!A:E,5,FALSE)</f>
        <v xml:space="preserve">Ex. </v>
      </c>
      <c r="I620" s="12"/>
      <c r="J620" s="12"/>
      <c r="K620" s="12"/>
      <c r="L620" s="12"/>
      <c r="M620" s="12"/>
      <c r="N620" s="12" t="s">
        <v>1570</v>
      </c>
      <c r="O620" s="12" t="s">
        <v>1570</v>
      </c>
      <c r="P620" s="12"/>
      <c r="Q620" s="12"/>
      <c r="R620" s="12"/>
      <c r="S620" s="12"/>
      <c r="T620" s="12"/>
      <c r="U620" s="12"/>
      <c r="V620" s="12"/>
      <c r="W620" s="12"/>
      <c r="X620" s="12"/>
      <c r="Y620" s="12"/>
      <c r="Z620" s="12"/>
      <c r="AA620" s="12"/>
      <c r="AB620" s="12"/>
      <c r="AC620" s="12"/>
      <c r="AD620" s="17"/>
    </row>
    <row r="621" spans="2:30" s="3" customFormat="1" ht="40.5" x14ac:dyDescent="0.25">
      <c r="B621" s="9" t="s">
        <v>1082</v>
      </c>
      <c r="C621" s="25" t="s">
        <v>1083</v>
      </c>
      <c r="D621" s="16"/>
      <c r="E621" s="12" t="str">
        <f>VLOOKUP(B621,'[1]ART 2 A)'!A:E,5,FALSE)</f>
        <v>Ex.</v>
      </c>
      <c r="F621" s="12"/>
      <c r="G621" s="12" t="str">
        <f>VLOOKUP(B621,'[1]ART 3'!A:E,5,FALSE)</f>
        <v xml:space="preserve">Ex. </v>
      </c>
      <c r="H621" s="12"/>
      <c r="I621" s="12"/>
      <c r="J621" s="12" t="str">
        <f>VLOOKUP(B621,'[1]ART 6'!A:E,5,FALSE)</f>
        <v xml:space="preserve">Ex. </v>
      </c>
      <c r="K621" s="12"/>
      <c r="L621" s="12"/>
      <c r="M621" s="12"/>
      <c r="N621" s="12"/>
      <c r="O621" s="12" t="s">
        <v>1562</v>
      </c>
      <c r="P621" s="12"/>
      <c r="Q621" s="12" t="s">
        <v>1562</v>
      </c>
      <c r="R621" s="12" t="s">
        <v>1562</v>
      </c>
      <c r="S621" s="12"/>
      <c r="T621" s="12"/>
      <c r="U621" s="12"/>
      <c r="V621" s="12"/>
      <c r="W621" s="12"/>
      <c r="X621" s="12" t="s">
        <v>1562</v>
      </c>
      <c r="Y621" s="12"/>
      <c r="Z621" s="12"/>
      <c r="AA621" s="12"/>
      <c r="AB621" s="12"/>
      <c r="AC621" s="12" t="s">
        <v>1562</v>
      </c>
      <c r="AD621" s="17"/>
    </row>
    <row r="622" spans="2:30" s="3" customFormat="1" ht="54" x14ac:dyDescent="0.25">
      <c r="B622" s="9" t="s">
        <v>1084</v>
      </c>
      <c r="C622" s="25" t="s">
        <v>1085</v>
      </c>
      <c r="D622" s="16"/>
      <c r="E622" s="12"/>
      <c r="F622" s="12"/>
      <c r="G622" s="12"/>
      <c r="H622" s="12"/>
      <c r="I622" s="12"/>
      <c r="J622" s="12"/>
      <c r="K622" s="12"/>
      <c r="L622" s="12"/>
      <c r="M622" s="12"/>
      <c r="N622" s="12"/>
      <c r="O622" s="12"/>
      <c r="P622" s="12"/>
      <c r="Q622" s="12" t="s">
        <v>1562</v>
      </c>
      <c r="R622" s="12"/>
      <c r="S622" s="12"/>
      <c r="T622" s="12"/>
      <c r="U622" s="12"/>
      <c r="V622" s="12"/>
      <c r="W622" s="12"/>
      <c r="X622" s="12" t="s">
        <v>1562</v>
      </c>
      <c r="Y622" s="12"/>
      <c r="Z622" s="12"/>
      <c r="AA622" s="12"/>
      <c r="AB622" s="12"/>
      <c r="AC622" s="12"/>
      <c r="AD622" s="17"/>
    </row>
    <row r="623" spans="2:30" s="3" customFormat="1" ht="81" x14ac:dyDescent="0.25">
      <c r="B623" s="9" t="s">
        <v>1086</v>
      </c>
      <c r="C623" s="25" t="s">
        <v>1087</v>
      </c>
      <c r="D623" s="16" t="str">
        <f>VLOOKUP(B623,'[1]ART 1'!A:E,5,FALSE)</f>
        <v>Ex.</v>
      </c>
      <c r="E623" s="12" t="str">
        <f>VLOOKUP(B623,'[1]ART 2 A)'!A:E,5,FALSE)</f>
        <v>Ex.</v>
      </c>
      <c r="F623" s="12"/>
      <c r="G623" s="12"/>
      <c r="H623" s="12"/>
      <c r="I623" s="12"/>
      <c r="J623" s="12"/>
      <c r="K623" s="12"/>
      <c r="L623" s="12"/>
      <c r="M623" s="12"/>
      <c r="N623" s="12"/>
      <c r="O623" s="12"/>
      <c r="P623" s="12"/>
      <c r="Q623" s="12"/>
      <c r="R623" s="12"/>
      <c r="S623" s="12"/>
      <c r="T623" s="12"/>
      <c r="U623" s="12"/>
      <c r="V623" s="12"/>
      <c r="W623" s="12"/>
      <c r="X623" s="12" t="s">
        <v>1562</v>
      </c>
      <c r="Y623" s="12"/>
      <c r="Z623" s="12"/>
      <c r="AA623" s="12"/>
      <c r="AB623" s="12"/>
      <c r="AC623" s="12"/>
      <c r="AD623" s="17"/>
    </row>
    <row r="624" spans="2:30" s="3" customFormat="1" ht="40.5" x14ac:dyDescent="0.25">
      <c r="B624" s="9" t="s">
        <v>1088</v>
      </c>
      <c r="C624" s="25" t="s">
        <v>1089</v>
      </c>
      <c r="D624" s="16" t="str">
        <f>VLOOKUP(B624,'[1]ART 1'!A:E,5,FALSE)</f>
        <v>Ex.</v>
      </c>
      <c r="E624" s="12" t="str">
        <f>VLOOKUP(B624,'[1]ART 2 A)'!A:E,5,FALSE)</f>
        <v>Ex.</v>
      </c>
      <c r="F624" s="12"/>
      <c r="G624" s="12" t="str">
        <f>VLOOKUP(B624,'[1]ART 3'!A:E,5,FALSE)</f>
        <v xml:space="preserve">Ex. </v>
      </c>
      <c r="H624" s="12"/>
      <c r="I624" s="12"/>
      <c r="J624" s="12"/>
      <c r="K624" s="12"/>
      <c r="L624" s="12"/>
      <c r="M624" s="12"/>
      <c r="N624" s="12"/>
      <c r="O624" s="12" t="s">
        <v>1562</v>
      </c>
      <c r="P624" s="12"/>
      <c r="Q624" s="12" t="s">
        <v>1562</v>
      </c>
      <c r="R624" s="12"/>
      <c r="S624" s="12"/>
      <c r="T624" s="12"/>
      <c r="U624" s="12"/>
      <c r="V624" s="12"/>
      <c r="W624" s="12"/>
      <c r="X624" s="12" t="s">
        <v>1562</v>
      </c>
      <c r="Y624" s="12" t="s">
        <v>1570</v>
      </c>
      <c r="Z624" s="12"/>
      <c r="AA624" s="12"/>
      <c r="AB624" s="12"/>
      <c r="AC624" s="12"/>
      <c r="AD624" s="17"/>
    </row>
    <row r="625" spans="2:30" s="3" customFormat="1" ht="13.5" x14ac:dyDescent="0.25">
      <c r="B625" s="9" t="s">
        <v>1090</v>
      </c>
      <c r="C625" s="25" t="s">
        <v>1091</v>
      </c>
      <c r="D625" s="16"/>
      <c r="E625" s="12"/>
      <c r="F625" s="12"/>
      <c r="G625" s="12"/>
      <c r="H625" s="12"/>
      <c r="I625" s="12"/>
      <c r="J625" s="12"/>
      <c r="K625" s="12"/>
      <c r="L625" s="12"/>
      <c r="M625" s="12"/>
      <c r="N625" s="12" t="s">
        <v>1562</v>
      </c>
      <c r="O625" s="12"/>
      <c r="P625" s="12"/>
      <c r="Q625" s="12"/>
      <c r="R625" s="12"/>
      <c r="S625" s="12"/>
      <c r="T625" s="12"/>
      <c r="U625" s="12"/>
      <c r="V625" s="12"/>
      <c r="W625" s="12"/>
      <c r="X625" s="12"/>
      <c r="Y625" s="12"/>
      <c r="Z625" s="12"/>
      <c r="AA625" s="12"/>
      <c r="AB625" s="12"/>
      <c r="AC625" s="12"/>
      <c r="AD625" s="17"/>
    </row>
    <row r="626" spans="2:30" s="3" customFormat="1" ht="13.5" x14ac:dyDescent="0.25">
      <c r="B626" s="9" t="s">
        <v>1092</v>
      </c>
      <c r="C626" s="25" t="s">
        <v>1093</v>
      </c>
      <c r="D626" s="16" t="str">
        <f>VLOOKUP(B626,'[1]ART 1'!A:E,5,FALSE)</f>
        <v>5</v>
      </c>
      <c r="E626" s="12" t="str">
        <f>VLOOKUP(B626,'[1]ART 2 A)'!A:E,5,FALSE)</f>
        <v>Ex.</v>
      </c>
      <c r="F626" s="12"/>
      <c r="G626" s="12"/>
      <c r="H626" s="12"/>
      <c r="I626" s="12"/>
      <c r="J626" s="12"/>
      <c r="K626" s="12"/>
      <c r="L626" s="12"/>
      <c r="M626" s="12"/>
      <c r="N626" s="12"/>
      <c r="O626" s="12"/>
      <c r="P626" s="12"/>
      <c r="Q626" s="12"/>
      <c r="R626" s="12"/>
      <c r="S626" s="12"/>
      <c r="T626" s="12"/>
      <c r="U626" s="12"/>
      <c r="V626" s="12"/>
      <c r="W626" s="12"/>
      <c r="X626" s="12" t="s">
        <v>1562</v>
      </c>
      <c r="Y626" s="12"/>
      <c r="Z626" s="12"/>
      <c r="AA626" s="12"/>
      <c r="AB626" s="12"/>
      <c r="AC626" s="12" t="s">
        <v>1562</v>
      </c>
      <c r="AD626" s="17"/>
    </row>
    <row r="627" spans="2:30" s="3" customFormat="1" ht="13.5" x14ac:dyDescent="0.25">
      <c r="B627" s="9" t="s">
        <v>1094</v>
      </c>
      <c r="C627" s="25" t="s">
        <v>1095</v>
      </c>
      <c r="D627" s="16"/>
      <c r="E627" s="12"/>
      <c r="F627" s="12"/>
      <c r="G627" s="12" t="str">
        <f>VLOOKUP(B627,'[1]ART 3'!A:E,5,FALSE)</f>
        <v xml:space="preserve">Ex. </v>
      </c>
      <c r="H627" s="12" t="str">
        <f>VLOOKUP(B627,'[1]ART IV'!A:E,5,FALSE)</f>
        <v xml:space="preserve">Ex. </v>
      </c>
      <c r="I627" s="12"/>
      <c r="J627" s="12" t="str">
        <f>VLOOKUP(B627,'[1]ART 6'!A:E,5,FALSE)</f>
        <v xml:space="preserve">Ex. </v>
      </c>
      <c r="K627" s="12"/>
      <c r="L627" s="12"/>
      <c r="M627" s="12"/>
      <c r="N627" s="12"/>
      <c r="O627" s="12" t="s">
        <v>1562</v>
      </c>
      <c r="P627" s="12"/>
      <c r="Q627" s="12"/>
      <c r="R627" s="12"/>
      <c r="S627" s="12" t="s">
        <v>1570</v>
      </c>
      <c r="T627" s="12"/>
      <c r="U627" s="12"/>
      <c r="V627" s="12"/>
      <c r="W627" s="12"/>
      <c r="X627" s="12"/>
      <c r="Y627" s="12" t="s">
        <v>1562</v>
      </c>
      <c r="Z627" s="12"/>
      <c r="AA627" s="12"/>
      <c r="AB627" s="12"/>
      <c r="AC627" s="12"/>
      <c r="AD627" s="17"/>
    </row>
    <row r="628" spans="2:30" s="3" customFormat="1" ht="27" x14ac:dyDescent="0.25">
      <c r="B628" s="9" t="s">
        <v>1096</v>
      </c>
      <c r="C628" s="25" t="s">
        <v>1097</v>
      </c>
      <c r="D628" s="16"/>
      <c r="E628" s="12" t="str">
        <f>VLOOKUP(B628,'[1]ART 2 A)'!A:E,5,FALSE)</f>
        <v>Ex.</v>
      </c>
      <c r="F628" s="12"/>
      <c r="G628" s="12"/>
      <c r="H628" s="12"/>
      <c r="I628" s="12"/>
      <c r="J628" s="12"/>
      <c r="K628" s="12"/>
      <c r="L628" s="12"/>
      <c r="M628" s="12"/>
      <c r="N628" s="12"/>
      <c r="O628" s="12" t="s">
        <v>1562</v>
      </c>
      <c r="P628" s="12"/>
      <c r="Q628" s="12"/>
      <c r="R628" s="12"/>
      <c r="S628" s="12"/>
      <c r="T628" s="12"/>
      <c r="U628" s="12"/>
      <c r="V628" s="12"/>
      <c r="W628" s="12"/>
      <c r="X628" s="12" t="s">
        <v>1562</v>
      </c>
      <c r="Y628" s="12"/>
      <c r="Z628" s="12"/>
      <c r="AA628" s="12"/>
      <c r="AB628" s="12"/>
      <c r="AC628" s="12"/>
      <c r="AD628" s="17"/>
    </row>
    <row r="629" spans="2:30" s="3" customFormat="1" ht="27" x14ac:dyDescent="0.25">
      <c r="B629" s="9" t="s">
        <v>1098</v>
      </c>
      <c r="C629" s="25" t="s">
        <v>1099</v>
      </c>
      <c r="D629" s="16"/>
      <c r="E629" s="12"/>
      <c r="F629" s="12"/>
      <c r="G629" s="12"/>
      <c r="H629" s="12"/>
      <c r="I629" s="12"/>
      <c r="J629" s="12"/>
      <c r="K629" s="12"/>
      <c r="L629" s="12"/>
      <c r="M629" s="12"/>
      <c r="N629" s="12"/>
      <c r="O629" s="12"/>
      <c r="P629" s="12"/>
      <c r="Q629" s="12"/>
      <c r="R629" s="12"/>
      <c r="S629" s="12"/>
      <c r="T629" s="12"/>
      <c r="U629" s="12"/>
      <c r="V629" s="12"/>
      <c r="W629" s="12"/>
      <c r="X629" s="12" t="s">
        <v>1562</v>
      </c>
      <c r="Y629" s="12"/>
      <c r="Z629" s="12"/>
      <c r="AA629" s="12"/>
      <c r="AB629" s="12"/>
      <c r="AC629" s="12"/>
      <c r="AD629" s="17"/>
    </row>
    <row r="630" spans="2:30" s="3" customFormat="1" ht="40.5" x14ac:dyDescent="0.25">
      <c r="B630" s="9" t="s">
        <v>1100</v>
      </c>
      <c r="C630" s="25" t="s">
        <v>1101</v>
      </c>
      <c r="D630" s="16"/>
      <c r="E630" s="12" t="str">
        <f>VLOOKUP(B630,'[1]ART 2 A)'!A:E,5,FALSE)</f>
        <v>Ex.</v>
      </c>
      <c r="F630" s="12"/>
      <c r="G630" s="12"/>
      <c r="H630" s="12"/>
      <c r="I630" s="12"/>
      <c r="J630" s="12"/>
      <c r="K630" s="12"/>
      <c r="L630" s="12"/>
      <c r="M630" s="12"/>
      <c r="N630" s="12"/>
      <c r="O630" s="12"/>
      <c r="P630" s="12"/>
      <c r="Q630" s="12"/>
      <c r="R630" s="12"/>
      <c r="S630" s="12"/>
      <c r="T630" s="12"/>
      <c r="U630" s="12"/>
      <c r="V630" s="12"/>
      <c r="W630" s="12"/>
      <c r="X630" s="12" t="s">
        <v>1562</v>
      </c>
      <c r="Y630" s="12"/>
      <c r="Z630" s="12"/>
      <c r="AA630" s="12"/>
      <c r="AB630" s="12"/>
      <c r="AC630" s="12"/>
      <c r="AD630" s="17"/>
    </row>
    <row r="631" spans="2:30" s="3" customFormat="1" ht="13.5" x14ac:dyDescent="0.25">
      <c r="B631" s="9" t="s">
        <v>1102</v>
      </c>
      <c r="C631" s="25" t="s">
        <v>1103</v>
      </c>
      <c r="D631" s="16"/>
      <c r="E631" s="12"/>
      <c r="F631" s="12"/>
      <c r="G631" s="12"/>
      <c r="H631" s="12"/>
      <c r="I631" s="12"/>
      <c r="J631" s="12"/>
      <c r="K631" s="12"/>
      <c r="L631" s="12"/>
      <c r="M631" s="12"/>
      <c r="N631" s="12"/>
      <c r="O631" s="12"/>
      <c r="P631" s="12"/>
      <c r="Q631" s="12"/>
      <c r="R631" s="12"/>
      <c r="S631" s="12" t="s">
        <v>1562</v>
      </c>
      <c r="T631" s="12"/>
      <c r="U631" s="12"/>
      <c r="V631" s="12"/>
      <c r="W631" s="12"/>
      <c r="X631" s="12" t="s">
        <v>1562</v>
      </c>
      <c r="Y631" s="12"/>
      <c r="Z631" s="12"/>
      <c r="AA631" s="12"/>
      <c r="AB631" s="12"/>
      <c r="AC631" s="12"/>
      <c r="AD631" s="17"/>
    </row>
    <row r="632" spans="2:30" s="3" customFormat="1" ht="13.5" x14ac:dyDescent="0.25">
      <c r="B632" s="9" t="s">
        <v>1104</v>
      </c>
      <c r="C632" s="25" t="s">
        <v>53</v>
      </c>
      <c r="D632" s="16" t="str">
        <f>VLOOKUP(B632,'[1]ART 1'!A:E,5,FALSE)</f>
        <v>Ex.</v>
      </c>
      <c r="E632" s="12"/>
      <c r="F632" s="12"/>
      <c r="G632" s="12" t="str">
        <f>VLOOKUP(B632,'[1]ART 3'!A:E,5,FALSE)</f>
        <v xml:space="preserve">Ex. </v>
      </c>
      <c r="H632" s="12"/>
      <c r="I632" s="12"/>
      <c r="J632" s="12" t="str">
        <f>VLOOKUP(B632,'[1]ART 6'!A:E,5,FALSE)</f>
        <v xml:space="preserve">Ex. </v>
      </c>
      <c r="K632" s="12"/>
      <c r="L632" s="12"/>
      <c r="M632" s="12"/>
      <c r="N632" s="12" t="s">
        <v>1562</v>
      </c>
      <c r="O632" s="12"/>
      <c r="P632" s="12"/>
      <c r="Q632" s="12"/>
      <c r="R632" s="12"/>
      <c r="S632" s="12"/>
      <c r="T632" s="12"/>
      <c r="U632" s="12"/>
      <c r="V632" s="12"/>
      <c r="W632" s="12"/>
      <c r="X632" s="12" t="s">
        <v>1562</v>
      </c>
      <c r="Y632" s="12"/>
      <c r="Z632" s="12"/>
      <c r="AA632" s="12"/>
      <c r="AB632" s="12"/>
      <c r="AC632" s="12"/>
      <c r="AD632" s="17"/>
    </row>
    <row r="633" spans="2:30" s="3" customFormat="1" ht="27" x14ac:dyDescent="0.25">
      <c r="B633" s="9" t="s">
        <v>1105</v>
      </c>
      <c r="C633" s="25" t="s">
        <v>1106</v>
      </c>
      <c r="D633" s="16"/>
      <c r="E633" s="12"/>
      <c r="F633" s="12"/>
      <c r="G633" s="12"/>
      <c r="H633" s="12"/>
      <c r="I633" s="12"/>
      <c r="J633" s="12"/>
      <c r="K633" s="12" t="str">
        <f>VLOOKUP(B633,'[1]ART 7'!A:E,5,FALSE)</f>
        <v xml:space="preserve">Ex. </v>
      </c>
      <c r="L633" s="12"/>
      <c r="M633" s="12"/>
      <c r="N633" s="12"/>
      <c r="O633" s="12" t="s">
        <v>1562</v>
      </c>
      <c r="P633" s="12" t="s">
        <v>1562</v>
      </c>
      <c r="Q633" s="12"/>
      <c r="R633" s="12"/>
      <c r="S633" s="12"/>
      <c r="T633" s="12"/>
      <c r="U633" s="12"/>
      <c r="V633" s="12"/>
      <c r="W633" s="12"/>
      <c r="X633" s="12"/>
      <c r="Y633" s="12"/>
      <c r="Z633" s="12"/>
      <c r="AA633" s="12"/>
      <c r="AB633" s="12"/>
      <c r="AC633" s="12"/>
      <c r="AD633" s="17"/>
    </row>
    <row r="634" spans="2:30" s="3" customFormat="1" ht="121.5" x14ac:dyDescent="0.25">
      <c r="B634" s="9" t="s">
        <v>1107</v>
      </c>
      <c r="C634" s="25" t="s">
        <v>1108</v>
      </c>
      <c r="D634" s="16"/>
      <c r="E634" s="12"/>
      <c r="F634" s="12" t="str">
        <f>VLOOKUP(B634,'[1]ART 2 B)'!A:E,5,FALSE)</f>
        <v xml:space="preserve">Ex. </v>
      </c>
      <c r="G634" s="12"/>
      <c r="H634" s="12"/>
      <c r="I634" s="12"/>
      <c r="J634" s="12"/>
      <c r="K634" s="12"/>
      <c r="L634" s="12"/>
      <c r="M634" s="12"/>
      <c r="N634" s="12"/>
      <c r="O634" s="12"/>
      <c r="P634" s="12"/>
      <c r="Q634" s="12"/>
      <c r="R634" s="12"/>
      <c r="S634" s="12"/>
      <c r="T634" s="12"/>
      <c r="U634" s="12"/>
      <c r="V634" s="12"/>
      <c r="W634" s="12"/>
      <c r="X634" s="12" t="s">
        <v>1562</v>
      </c>
      <c r="Y634" s="12"/>
      <c r="Z634" s="12"/>
      <c r="AA634" s="12"/>
      <c r="AB634" s="12"/>
      <c r="AC634" s="12"/>
      <c r="AD634" s="17"/>
    </row>
    <row r="635" spans="2:30" s="3" customFormat="1" ht="81" x14ac:dyDescent="0.25">
      <c r="B635" s="9" t="s">
        <v>1109</v>
      </c>
      <c r="C635" s="25" t="s">
        <v>1110</v>
      </c>
      <c r="D635" s="16"/>
      <c r="E635" s="12"/>
      <c r="F635" s="12" t="str">
        <f>VLOOKUP(B635,'[1]ART 2 B)'!A:E,5,FALSE)</f>
        <v xml:space="preserve">Ex. </v>
      </c>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7"/>
    </row>
    <row r="636" spans="2:30" s="3" customFormat="1" ht="13.5" x14ac:dyDescent="0.25">
      <c r="B636" s="9" t="s">
        <v>1111</v>
      </c>
      <c r="C636" s="25" t="s">
        <v>1112</v>
      </c>
      <c r="D636" s="16" t="str">
        <f>VLOOKUP(B636,'[1]ART 1'!A:E,5,FALSE)</f>
        <v>5</v>
      </c>
      <c r="E636" s="12" t="str">
        <f>VLOOKUP(B636,'[1]ART 2 A)'!A:E,5,FALSE)</f>
        <v>Ex.</v>
      </c>
      <c r="F636" s="12"/>
      <c r="G636" s="12"/>
      <c r="H636" s="12"/>
      <c r="I636" s="12"/>
      <c r="J636" s="12"/>
      <c r="K636" s="12" t="str">
        <f>VLOOKUP(B636,'[1]ART 7'!A:E,5,FALSE)</f>
        <v xml:space="preserve">5 </v>
      </c>
      <c r="L636" s="12"/>
      <c r="M636" s="12" t="str">
        <f>VLOOKUP(B636,'[1]ART 9'!A:E,5,FALSE)</f>
        <v xml:space="preserve">Ex. </v>
      </c>
      <c r="N636" s="12" t="s">
        <v>1562</v>
      </c>
      <c r="O636" s="12"/>
      <c r="P636" s="12"/>
      <c r="Q636" s="12"/>
      <c r="R636" s="12"/>
      <c r="S636" s="12"/>
      <c r="T636" s="12"/>
      <c r="U636" s="12"/>
      <c r="V636" s="12"/>
      <c r="W636" s="12"/>
      <c r="X636" s="12"/>
      <c r="Y636" s="12"/>
      <c r="Z636" s="12"/>
      <c r="AA636" s="12"/>
      <c r="AB636" s="12"/>
      <c r="AC636" s="12"/>
      <c r="AD636" s="17"/>
    </row>
    <row r="637" spans="2:30" s="3" customFormat="1" ht="40.5" x14ac:dyDescent="0.25">
      <c r="B637" s="9" t="s">
        <v>1113</v>
      </c>
      <c r="C637" s="25" t="s">
        <v>1114</v>
      </c>
      <c r="D637" s="16"/>
      <c r="E637" s="12" t="str">
        <f>VLOOKUP(B637,'[1]ART 2 A)'!A:E,5,FALSE)</f>
        <v>Ex.</v>
      </c>
      <c r="F637" s="12"/>
      <c r="G637" s="12"/>
      <c r="H637" s="12"/>
      <c r="I637" s="12"/>
      <c r="J637" s="12"/>
      <c r="K637" s="12"/>
      <c r="L637" s="12"/>
      <c r="M637" s="12"/>
      <c r="N637" s="12"/>
      <c r="O637" s="12"/>
      <c r="P637" s="12"/>
      <c r="Q637" s="12"/>
      <c r="R637" s="12"/>
      <c r="S637" s="12"/>
      <c r="T637" s="12"/>
      <c r="U637" s="12"/>
      <c r="V637" s="12"/>
      <c r="W637" s="12"/>
      <c r="X637" s="12" t="s">
        <v>1562</v>
      </c>
      <c r="Y637" s="12"/>
      <c r="Z637" s="12"/>
      <c r="AA637" s="12"/>
      <c r="AB637" s="12"/>
      <c r="AC637" s="12"/>
      <c r="AD637" s="17"/>
    </row>
    <row r="638" spans="2:30" s="3" customFormat="1" ht="13.5" x14ac:dyDescent="0.25">
      <c r="B638" s="9" t="s">
        <v>1115</v>
      </c>
      <c r="C638" s="25" t="s">
        <v>1116</v>
      </c>
      <c r="D638" s="16" t="str">
        <f>VLOOKUP(B638,'[1]ART 1'!A:E,5,FALSE)</f>
        <v>Ex.</v>
      </c>
      <c r="E638" s="12" t="str">
        <f>VLOOKUP(B638,'[1]ART 2 A)'!A:E,5,FALSE)</f>
        <v>Ex.</v>
      </c>
      <c r="F638" s="12"/>
      <c r="G638" s="12"/>
      <c r="H638" s="12" t="str">
        <f>VLOOKUP(B638,'[1]ART IV'!A:E,5,FALSE)</f>
        <v xml:space="preserve">Ex. </v>
      </c>
      <c r="I638" s="12" t="str">
        <f>VLOOKUP(B638,'[1]ART 5'!A:E,5,FALSE)</f>
        <v xml:space="preserve">5 </v>
      </c>
      <c r="J638" s="12"/>
      <c r="K638" s="12" t="str">
        <f>VLOOKUP(B638,'[1]ART 7'!A:E,5,FALSE)</f>
        <v xml:space="preserve">Ex. </v>
      </c>
      <c r="L638" s="12"/>
      <c r="M638" s="12" t="str">
        <f>VLOOKUP(B638,'[1]ART 9'!A:E,5,FALSE)</f>
        <v xml:space="preserve">Ex. </v>
      </c>
      <c r="N638" s="12"/>
      <c r="O638" s="12" t="s">
        <v>1562</v>
      </c>
      <c r="P638" s="12"/>
      <c r="Q638" s="12"/>
      <c r="R638" s="12"/>
      <c r="S638" s="12"/>
      <c r="T638" s="12"/>
      <c r="U638" s="12"/>
      <c r="V638" s="12" t="s">
        <v>1562</v>
      </c>
      <c r="W638" s="12"/>
      <c r="X638" s="12" t="s">
        <v>1562</v>
      </c>
      <c r="Y638" s="12"/>
      <c r="Z638" s="12"/>
      <c r="AA638" s="12"/>
      <c r="AB638" s="12"/>
      <c r="AC638" s="12"/>
      <c r="AD638" s="17"/>
    </row>
    <row r="639" spans="2:30" s="3" customFormat="1" ht="54" x14ac:dyDescent="0.25">
      <c r="B639" s="9" t="s">
        <v>1117</v>
      </c>
      <c r="C639" s="25" t="s">
        <v>1118</v>
      </c>
      <c r="D639" s="16"/>
      <c r="E639" s="12"/>
      <c r="F639" s="12"/>
      <c r="G639" s="12"/>
      <c r="H639" s="12"/>
      <c r="I639" s="12"/>
      <c r="J639" s="12"/>
      <c r="K639" s="12"/>
      <c r="L639" s="12"/>
      <c r="M639" s="12"/>
      <c r="N639" s="12"/>
      <c r="O639" s="12"/>
      <c r="P639" s="12"/>
      <c r="Q639" s="12"/>
      <c r="R639" s="12"/>
      <c r="S639" s="12"/>
      <c r="T639" s="12"/>
      <c r="U639" s="12"/>
      <c r="V639" s="12"/>
      <c r="W639" s="12"/>
      <c r="X639" s="12" t="s">
        <v>1562</v>
      </c>
      <c r="Y639" s="12"/>
      <c r="Z639" s="12"/>
      <c r="AA639" s="12"/>
      <c r="AB639" s="12"/>
      <c r="AC639" s="12"/>
      <c r="AD639" s="17"/>
    </row>
    <row r="640" spans="2:30" s="3" customFormat="1" ht="54" x14ac:dyDescent="0.25">
      <c r="B640" s="9" t="s">
        <v>1119</v>
      </c>
      <c r="C640" s="25" t="s">
        <v>1120</v>
      </c>
      <c r="D640" s="16"/>
      <c r="E640" s="12" t="str">
        <f>VLOOKUP(B640,'[1]ART 2 A)'!A:E,5,FALSE)</f>
        <v>Ex.</v>
      </c>
      <c r="F640" s="12"/>
      <c r="G640" s="12"/>
      <c r="H640" s="12"/>
      <c r="I640" s="12"/>
      <c r="J640" s="12"/>
      <c r="K640" s="12"/>
      <c r="L640" s="12"/>
      <c r="M640" s="12"/>
      <c r="N640" s="12"/>
      <c r="O640" s="12"/>
      <c r="P640" s="12"/>
      <c r="Q640" s="12"/>
      <c r="R640" s="12"/>
      <c r="S640" s="12"/>
      <c r="T640" s="12"/>
      <c r="U640" s="12"/>
      <c r="V640" s="12"/>
      <c r="W640" s="12"/>
      <c r="X640" s="12" t="s">
        <v>1562</v>
      </c>
      <c r="Y640" s="12"/>
      <c r="Z640" s="12"/>
      <c r="AA640" s="12"/>
      <c r="AB640" s="12"/>
      <c r="AC640" s="12"/>
      <c r="AD640" s="17"/>
    </row>
    <row r="641" spans="2:30" s="3" customFormat="1" ht="13.5" x14ac:dyDescent="0.25">
      <c r="B641" s="9" t="s">
        <v>1121</v>
      </c>
      <c r="C641" s="25" t="s">
        <v>53</v>
      </c>
      <c r="D641" s="16" t="str">
        <f>VLOOKUP(B641,'[1]ART 1'!A:E,5,FALSE)</f>
        <v>5</v>
      </c>
      <c r="E641" s="12" t="str">
        <f>VLOOKUP(B641,'[1]ART 2 A)'!A:E,5,FALSE)</f>
        <v>Ex.</v>
      </c>
      <c r="F641" s="12"/>
      <c r="G641" s="12" t="str">
        <f>VLOOKUP(B641,'[1]ART 3'!A:E,5,FALSE)</f>
        <v xml:space="preserve">Ex. </v>
      </c>
      <c r="H641" s="12" t="str">
        <f>VLOOKUP(B641,'[1]ART IV'!A:E,5,FALSE)</f>
        <v xml:space="preserve">Ex. </v>
      </c>
      <c r="I641" s="12"/>
      <c r="J641" s="12" t="str">
        <f>VLOOKUP(B641,'[1]ART 6'!A:E,5,FALSE)</f>
        <v xml:space="preserve">5 </v>
      </c>
      <c r="K641" s="12" t="str">
        <f>VLOOKUP(B641,'[1]ART 7'!A:E,5,FALSE)</f>
        <v xml:space="preserve">5 </v>
      </c>
      <c r="L641" s="12" t="str">
        <f>VLOOKUP(B641,'[1]ART 8'!A:E,5,FALSE)</f>
        <v xml:space="preserve">Ex. </v>
      </c>
      <c r="M641" s="12" t="str">
        <f>VLOOKUP(B641,'[1]ART 9'!A:E,5,FALSE)</f>
        <v xml:space="preserve">Ex. </v>
      </c>
      <c r="N641" s="12" t="s">
        <v>1562</v>
      </c>
      <c r="O641" s="12" t="s">
        <v>1570</v>
      </c>
      <c r="P641" s="12" t="s">
        <v>1570</v>
      </c>
      <c r="Q641" s="12" t="s">
        <v>1570</v>
      </c>
      <c r="R641" s="12" t="s">
        <v>1570</v>
      </c>
      <c r="S641" s="12" t="s">
        <v>1562</v>
      </c>
      <c r="T641" s="12" t="s">
        <v>1562</v>
      </c>
      <c r="U641" s="12" t="s">
        <v>1570</v>
      </c>
      <c r="V641" s="12"/>
      <c r="W641" s="12"/>
      <c r="X641" s="12" t="s">
        <v>1562</v>
      </c>
      <c r="Y641" s="12" t="s">
        <v>1562</v>
      </c>
      <c r="Z641" s="12"/>
      <c r="AA641" s="12"/>
      <c r="AB641" s="12"/>
      <c r="AC641" s="12" t="s">
        <v>1570</v>
      </c>
      <c r="AD641" s="17"/>
    </row>
    <row r="642" spans="2:30" s="3" customFormat="1" ht="94.5" x14ac:dyDescent="0.25">
      <c r="B642" s="9" t="s">
        <v>1122</v>
      </c>
      <c r="C642" s="25" t="s">
        <v>1123</v>
      </c>
      <c r="D642" s="16"/>
      <c r="E642" s="12"/>
      <c r="F642" s="12"/>
      <c r="G642" s="12"/>
      <c r="H642" s="12"/>
      <c r="I642" s="12"/>
      <c r="J642" s="12"/>
      <c r="K642" s="12"/>
      <c r="L642" s="12"/>
      <c r="M642" s="12" t="str">
        <f>VLOOKUP(B642,'[1]ART 9'!A:E,5,FALSE)</f>
        <v xml:space="preserve">Ex. </v>
      </c>
      <c r="N642" s="12"/>
      <c r="O642" s="12"/>
      <c r="P642" s="12"/>
      <c r="Q642" s="12"/>
      <c r="R642" s="12"/>
      <c r="S642" s="12"/>
      <c r="T642" s="12"/>
      <c r="U642" s="12"/>
      <c r="V642" s="12"/>
      <c r="W642" s="12"/>
      <c r="X642" s="12" t="s">
        <v>1562</v>
      </c>
      <c r="Y642" s="12"/>
      <c r="Z642" s="12"/>
      <c r="AA642" s="12"/>
      <c r="AB642" s="12"/>
      <c r="AC642" s="12"/>
      <c r="AD642" s="17"/>
    </row>
    <row r="643" spans="2:30" s="3" customFormat="1" ht="409.5" x14ac:dyDescent="0.25">
      <c r="B643" s="9" t="s">
        <v>1124</v>
      </c>
      <c r="C643" s="25" t="s">
        <v>1125</v>
      </c>
      <c r="D643" s="16"/>
      <c r="E643" s="12"/>
      <c r="F643" s="12"/>
      <c r="G643" s="12"/>
      <c r="H643" s="12"/>
      <c r="I643" s="12"/>
      <c r="J643" s="12"/>
      <c r="K643" s="12"/>
      <c r="L643" s="12"/>
      <c r="M643" s="12" t="str">
        <f>VLOOKUP(B643,'[1]ART 9'!A:E,5,FALSE)</f>
        <v xml:space="preserve">Ex. </v>
      </c>
      <c r="N643" s="12"/>
      <c r="O643" s="12"/>
      <c r="P643" s="12"/>
      <c r="Q643" s="12"/>
      <c r="R643" s="12"/>
      <c r="S643" s="12"/>
      <c r="T643" s="12"/>
      <c r="U643" s="12"/>
      <c r="V643" s="12"/>
      <c r="W643" s="12"/>
      <c r="X643" s="12" t="s">
        <v>1562</v>
      </c>
      <c r="Y643" s="12"/>
      <c r="Z643" s="12"/>
      <c r="AA643" s="12"/>
      <c r="AB643" s="12"/>
      <c r="AC643" s="12"/>
      <c r="AD643" s="17"/>
    </row>
    <row r="644" spans="2:30" s="3" customFormat="1" ht="148.5" x14ac:dyDescent="0.25">
      <c r="B644" s="9" t="s">
        <v>1126</v>
      </c>
      <c r="C644" s="25" t="s">
        <v>1127</v>
      </c>
      <c r="D644" s="16"/>
      <c r="E644" s="12"/>
      <c r="F644" s="12"/>
      <c r="G644" s="12"/>
      <c r="H644" s="12"/>
      <c r="I644" s="12"/>
      <c r="J644" s="12"/>
      <c r="K644" s="12"/>
      <c r="L644" s="12"/>
      <c r="M644" s="12" t="str">
        <f>VLOOKUP(B644,'[1]ART 9'!A:E,5,FALSE)</f>
        <v xml:space="preserve">Ex. </v>
      </c>
      <c r="N644" s="12"/>
      <c r="O644" s="12"/>
      <c r="P644" s="12"/>
      <c r="Q644" s="12"/>
      <c r="R644" s="12"/>
      <c r="S644" s="12"/>
      <c r="T644" s="12"/>
      <c r="U644" s="12"/>
      <c r="V644" s="12"/>
      <c r="W644" s="12"/>
      <c r="X644" s="12" t="s">
        <v>1562</v>
      </c>
      <c r="Y644" s="12"/>
      <c r="Z644" s="12"/>
      <c r="AA644" s="12"/>
      <c r="AB644" s="12"/>
      <c r="AC644" s="12"/>
      <c r="AD644" s="17"/>
    </row>
    <row r="645" spans="2:30" s="3" customFormat="1" ht="54" x14ac:dyDescent="0.25">
      <c r="B645" s="9" t="s">
        <v>1128</v>
      </c>
      <c r="C645" s="25" t="s">
        <v>1129</v>
      </c>
      <c r="D645" s="16" t="str">
        <f>VLOOKUP(B645,'[1]ART 1'!A:E,5,FALSE)</f>
        <v>5</v>
      </c>
      <c r="E645" s="12" t="str">
        <f>VLOOKUP(B645,'[1]ART 2 A)'!A:E,5,FALSE)</f>
        <v>Ex.</v>
      </c>
      <c r="F645" s="12"/>
      <c r="G645" s="12" t="str">
        <f>VLOOKUP(B645,'[1]ART 3'!A:E,5,FALSE)</f>
        <v xml:space="preserve">Ex. </v>
      </c>
      <c r="H645" s="12"/>
      <c r="I645" s="12"/>
      <c r="J645" s="12" t="str">
        <f>VLOOKUP(B645,'[1]ART 6'!A:E,5,FALSE)</f>
        <v xml:space="preserve">5 </v>
      </c>
      <c r="K645" s="12"/>
      <c r="L645" s="12"/>
      <c r="M645" s="12"/>
      <c r="N645" s="12"/>
      <c r="O645" s="12"/>
      <c r="P645" s="12"/>
      <c r="Q645" s="12" t="s">
        <v>1562</v>
      </c>
      <c r="R645" s="12"/>
      <c r="S645" s="12"/>
      <c r="T645" s="12"/>
      <c r="U645" s="12" t="s">
        <v>1562</v>
      </c>
      <c r="V645" s="12"/>
      <c r="W645" s="12"/>
      <c r="X645" s="12" t="s">
        <v>1562</v>
      </c>
      <c r="Y645" s="12"/>
      <c r="Z645" s="12"/>
      <c r="AA645" s="12"/>
      <c r="AB645" s="12"/>
      <c r="AC645" s="12"/>
      <c r="AD645" s="17" t="s">
        <v>1562</v>
      </c>
    </row>
    <row r="646" spans="2:30" s="3" customFormat="1" ht="13.5" x14ac:dyDescent="0.25">
      <c r="B646" s="9" t="s">
        <v>1130</v>
      </c>
      <c r="C646" s="25" t="s">
        <v>53</v>
      </c>
      <c r="D646" s="16" t="str">
        <f>VLOOKUP(B646,'[1]ART 1'!A:E,5,FALSE)</f>
        <v>5</v>
      </c>
      <c r="E646" s="12" t="str">
        <f>VLOOKUP(B646,'[1]ART 2 A)'!A:E,5,FALSE)</f>
        <v>Ex.</v>
      </c>
      <c r="F646" s="12"/>
      <c r="G646" s="12" t="str">
        <f>VLOOKUP(B646,'[1]ART 3'!A:E,5,FALSE)</f>
        <v xml:space="preserve">Ex. </v>
      </c>
      <c r="H646" s="12"/>
      <c r="I646" s="12"/>
      <c r="J646" s="12" t="str">
        <f>VLOOKUP(B646,'[1]ART 6'!A:E,5,FALSE)</f>
        <v xml:space="preserve">5 </v>
      </c>
      <c r="K646" s="12" t="str">
        <f>VLOOKUP(B646,'[1]ART 7'!A:E,5,FALSE)</f>
        <v xml:space="preserve">5 </v>
      </c>
      <c r="L646" s="12"/>
      <c r="M646" s="12" t="str">
        <f>VLOOKUP(B646,'[1]ART 9'!A:E,5,FALSE)</f>
        <v xml:space="preserve">Ex. </v>
      </c>
      <c r="N646" s="12" t="s">
        <v>1562</v>
      </c>
      <c r="O646" s="12" t="s">
        <v>1562</v>
      </c>
      <c r="P646" s="12"/>
      <c r="Q646" s="12" t="s">
        <v>1562</v>
      </c>
      <c r="R646" s="12"/>
      <c r="S646" s="12" t="s">
        <v>1562</v>
      </c>
      <c r="T646" s="12"/>
      <c r="U646" s="12"/>
      <c r="V646" s="12"/>
      <c r="W646" s="12"/>
      <c r="X646" s="12" t="s">
        <v>1562</v>
      </c>
      <c r="Y646" s="12" t="s">
        <v>1570</v>
      </c>
      <c r="Z646" s="12"/>
      <c r="AA646" s="12"/>
      <c r="AB646" s="12"/>
      <c r="AC646" s="12" t="s">
        <v>1562</v>
      </c>
      <c r="AD646" s="17"/>
    </row>
    <row r="647" spans="2:30" s="3" customFormat="1" ht="13.5" x14ac:dyDescent="0.25">
      <c r="B647" s="9" t="s">
        <v>1131</v>
      </c>
      <c r="C647" s="25" t="s">
        <v>1132</v>
      </c>
      <c r="D647" s="16"/>
      <c r="E647" s="12"/>
      <c r="F647" s="12"/>
      <c r="G647" s="12"/>
      <c r="H647" s="12"/>
      <c r="I647" s="12"/>
      <c r="J647" s="12"/>
      <c r="K647" s="12" t="str">
        <f>VLOOKUP(B647,'[1]ART 7'!A:E,5,FALSE)</f>
        <v xml:space="preserve">Ex. </v>
      </c>
      <c r="L647" s="12"/>
      <c r="M647" s="12" t="str">
        <f>VLOOKUP(B647,'[1]ART 9'!A:E,5,FALSE)</f>
        <v xml:space="preserve">Ex. </v>
      </c>
      <c r="N647" s="12" t="s">
        <v>1562</v>
      </c>
      <c r="O647" s="12" t="s">
        <v>1562</v>
      </c>
      <c r="P647" s="12" t="s">
        <v>1562</v>
      </c>
      <c r="Q647" s="12"/>
      <c r="R647" s="12"/>
      <c r="S647" s="12" t="s">
        <v>1562</v>
      </c>
      <c r="T647" s="12" t="s">
        <v>1562</v>
      </c>
      <c r="U647" s="12"/>
      <c r="V647" s="12"/>
      <c r="W647" s="12"/>
      <c r="X647" s="12" t="s">
        <v>1562</v>
      </c>
      <c r="Y647" s="12"/>
      <c r="Z647" s="12"/>
      <c r="AA647" s="12"/>
      <c r="AB647" s="12"/>
      <c r="AC647" s="12"/>
      <c r="AD647" s="17"/>
    </row>
    <row r="648" spans="2:30" s="3" customFormat="1" ht="13.5" x14ac:dyDescent="0.25">
      <c r="B648" s="9" t="s">
        <v>1133</v>
      </c>
      <c r="C648" s="25" t="s">
        <v>1134</v>
      </c>
      <c r="D648" s="16" t="str">
        <f>VLOOKUP(B648,'[1]ART 1'!A:E,5,FALSE)</f>
        <v>Ex.</v>
      </c>
      <c r="E648" s="12" t="str">
        <f>VLOOKUP(B648,'[1]ART 2 A)'!A:E,5,FALSE)</f>
        <v>Ex.</v>
      </c>
      <c r="F648" s="12"/>
      <c r="G648" s="12" t="str">
        <f>VLOOKUP(B648,'[1]ART 3'!A:E,5,FALSE)</f>
        <v xml:space="preserve">Ex. </v>
      </c>
      <c r="H648" s="12" t="str">
        <f>VLOOKUP(B648,'[1]ART IV'!A:E,5,FALSE)</f>
        <v xml:space="preserve">Ex. </v>
      </c>
      <c r="I648" s="12"/>
      <c r="J648" s="12"/>
      <c r="K648" s="12" t="str">
        <f>VLOOKUP(B648,'[1]ART 7'!A:E,5,FALSE)</f>
        <v xml:space="preserve">Ex. </v>
      </c>
      <c r="L648" s="12"/>
      <c r="M648" s="12" t="str">
        <f>VLOOKUP(B648,'[1]ART 9'!A:E,5,FALSE)</f>
        <v xml:space="preserve">Ex. </v>
      </c>
      <c r="N648" s="12"/>
      <c r="O648" s="12" t="s">
        <v>1562</v>
      </c>
      <c r="P648" s="12"/>
      <c r="Q648" s="12" t="s">
        <v>1562</v>
      </c>
      <c r="R648" s="12"/>
      <c r="S648" s="12"/>
      <c r="T648" s="12"/>
      <c r="U648" s="12" t="s">
        <v>1562</v>
      </c>
      <c r="V648" s="12"/>
      <c r="W648" s="12"/>
      <c r="X648" s="12" t="s">
        <v>1562</v>
      </c>
      <c r="Y648" s="12"/>
      <c r="Z648" s="12"/>
      <c r="AA648" s="12"/>
      <c r="AB648" s="12"/>
      <c r="AC648" s="12" t="s">
        <v>1562</v>
      </c>
      <c r="AD648" s="17"/>
    </row>
    <row r="649" spans="2:30" s="3" customFormat="1" ht="13.5" x14ac:dyDescent="0.25">
      <c r="B649" s="9" t="s">
        <v>1135</v>
      </c>
      <c r="C649" s="25" t="s">
        <v>157</v>
      </c>
      <c r="D649" s="16" t="str">
        <f>VLOOKUP(B649,'[1]ART 1'!A:E,5,FALSE)</f>
        <v>Ex.</v>
      </c>
      <c r="E649" s="12" t="str">
        <f>VLOOKUP(B649,'[1]ART 2 A)'!A:E,5,FALSE)</f>
        <v>Ex.</v>
      </c>
      <c r="F649" s="12"/>
      <c r="G649" s="12"/>
      <c r="H649" s="12"/>
      <c r="I649" s="12"/>
      <c r="J649" s="12"/>
      <c r="K649" s="12"/>
      <c r="L649" s="12"/>
      <c r="M649" s="12" t="str">
        <f>VLOOKUP(B649,'[1]ART 9'!A:E,5,FALSE)</f>
        <v xml:space="preserve">Ex. </v>
      </c>
      <c r="N649" s="12" t="s">
        <v>1562</v>
      </c>
      <c r="O649" s="12" t="s">
        <v>1562</v>
      </c>
      <c r="P649" s="12"/>
      <c r="Q649" s="12"/>
      <c r="R649" s="12" t="s">
        <v>1562</v>
      </c>
      <c r="S649" s="12" t="s">
        <v>1562</v>
      </c>
      <c r="T649" s="12"/>
      <c r="U649" s="12"/>
      <c r="V649" s="12"/>
      <c r="W649" s="12"/>
      <c r="X649" s="12" t="s">
        <v>1562</v>
      </c>
      <c r="Y649" s="12"/>
      <c r="Z649" s="12"/>
      <c r="AA649" s="12"/>
      <c r="AB649" s="12"/>
      <c r="AC649" s="12"/>
      <c r="AD649" s="17"/>
    </row>
    <row r="650" spans="2:30" s="3" customFormat="1" ht="13.5" x14ac:dyDescent="0.25">
      <c r="B650" s="10" t="s">
        <v>1136</v>
      </c>
      <c r="C650" s="25" t="s">
        <v>1137</v>
      </c>
      <c r="D650" s="16" t="str">
        <f>VLOOKUP(B650,'[1]ART 1'!A:E,5,FALSE)</f>
        <v>Ex.</v>
      </c>
      <c r="E650" s="12" t="str">
        <f>VLOOKUP(B650,'[1]ART 2 A)'!A:E,5,FALSE)</f>
        <v>Ex.</v>
      </c>
      <c r="F650" s="12"/>
      <c r="G650" s="12"/>
      <c r="H650" s="12"/>
      <c r="I650" s="12"/>
      <c r="J650" s="12"/>
      <c r="K650" s="12"/>
      <c r="L650" s="12"/>
      <c r="M650" s="12"/>
      <c r="N650" s="12"/>
      <c r="O650" s="12" t="s">
        <v>1570</v>
      </c>
      <c r="P650" s="12"/>
      <c r="Q650" s="12"/>
      <c r="R650" s="12"/>
      <c r="S650" s="12"/>
      <c r="T650" s="12"/>
      <c r="U650" s="12" t="s">
        <v>1570</v>
      </c>
      <c r="V650" s="12"/>
      <c r="W650" s="12"/>
      <c r="X650" s="12" t="s">
        <v>1571</v>
      </c>
      <c r="Y650" s="12"/>
      <c r="Z650" s="12"/>
      <c r="AA650" s="12"/>
      <c r="AB650" s="12"/>
      <c r="AC650" s="12"/>
      <c r="AD650" s="17"/>
    </row>
    <row r="651" spans="2:30" s="3" customFormat="1" ht="54" x14ac:dyDescent="0.25">
      <c r="B651" s="10" t="s">
        <v>1138</v>
      </c>
      <c r="C651" s="25" t="s">
        <v>1139</v>
      </c>
      <c r="D651" s="16" t="str">
        <f>VLOOKUP(B651,'[1]ART 1'!A:E,5,FALSE)</f>
        <v>5</v>
      </c>
      <c r="E651" s="12" t="str">
        <f>VLOOKUP(B651,'[1]ART 2 A)'!A:E,5,FALSE)</f>
        <v>Ex.</v>
      </c>
      <c r="F651" s="12"/>
      <c r="G651" s="12" t="str">
        <f>VLOOKUP(B651,'[1]ART 3'!A:E,5,FALSE)</f>
        <v xml:space="preserve">Ex. </v>
      </c>
      <c r="H651" s="12" t="str">
        <f>VLOOKUP(B651,'[1]ART IV'!A:E,5,FALSE)</f>
        <v xml:space="preserve">Ex. </v>
      </c>
      <c r="I651" s="12"/>
      <c r="J651" s="12" t="str">
        <f>VLOOKUP(B651,'[1]ART 6'!A:E,5,FALSE)</f>
        <v xml:space="preserve">5 </v>
      </c>
      <c r="K651" s="12"/>
      <c r="L651" s="12"/>
      <c r="M651" s="12"/>
      <c r="N651" s="12" t="s">
        <v>1570</v>
      </c>
      <c r="O651" s="12" t="s">
        <v>1570</v>
      </c>
      <c r="P651" s="12" t="s">
        <v>1570</v>
      </c>
      <c r="Q651" s="12"/>
      <c r="R651" s="12"/>
      <c r="S651" s="12"/>
      <c r="T651" s="12"/>
      <c r="U651" s="12"/>
      <c r="V651" s="12"/>
      <c r="W651" s="12"/>
      <c r="X651" s="12" t="s">
        <v>1562</v>
      </c>
      <c r="Y651" s="12"/>
      <c r="Z651" s="12"/>
      <c r="AA651" s="12"/>
      <c r="AB651" s="12"/>
      <c r="AC651" s="12"/>
      <c r="AD651" s="17"/>
    </row>
    <row r="652" spans="2:30" s="3" customFormat="1" ht="13.5" x14ac:dyDescent="0.25">
      <c r="B652" s="10" t="s">
        <v>1140</v>
      </c>
      <c r="C652" s="25" t="s">
        <v>53</v>
      </c>
      <c r="D652" s="16" t="str">
        <f>VLOOKUP(B652,'[1]ART 1'!A:E,5,FALSE)</f>
        <v>2.5</v>
      </c>
      <c r="E652" s="12" t="str">
        <f>VLOOKUP(B652,'[1]ART 2 A)'!A:E,5,FALSE)</f>
        <v>Ex.</v>
      </c>
      <c r="F652" s="12"/>
      <c r="G652" s="12"/>
      <c r="H652" s="12"/>
      <c r="I652" s="12"/>
      <c r="J652" s="12"/>
      <c r="K652" s="12"/>
      <c r="L652" s="12" t="str">
        <f>VLOOKUP(B652,'[1]ART 8'!A:E,5,FALSE)</f>
        <v xml:space="preserve">Ex. </v>
      </c>
      <c r="M652" s="12"/>
      <c r="N652" s="12"/>
      <c r="O652" s="12"/>
      <c r="P652" s="12"/>
      <c r="Q652" s="12"/>
      <c r="R652" s="12"/>
      <c r="S652" s="12" t="s">
        <v>1562</v>
      </c>
      <c r="T652" s="12"/>
      <c r="U652" s="12"/>
      <c r="V652" s="12"/>
      <c r="W652" s="12"/>
      <c r="X652" s="12" t="s">
        <v>1562</v>
      </c>
      <c r="Y652" s="12"/>
      <c r="Z652" s="12"/>
      <c r="AA652" s="12"/>
      <c r="AB652" s="12"/>
      <c r="AC652" s="12"/>
      <c r="AD652" s="17"/>
    </row>
    <row r="653" spans="2:30" s="3" customFormat="1" ht="13.5" x14ac:dyDescent="0.25">
      <c r="B653" s="10" t="s">
        <v>1141</v>
      </c>
      <c r="C653" s="25" t="s">
        <v>1137</v>
      </c>
      <c r="D653" s="16" t="str">
        <f>VLOOKUP(B653,'[1]ART 1'!A:E,5,FALSE)</f>
        <v>5</v>
      </c>
      <c r="E653" s="12" t="str">
        <f>VLOOKUP(B653,'[1]ART 2 A)'!A:E,5,FALSE)</f>
        <v>Ex.</v>
      </c>
      <c r="F653" s="12"/>
      <c r="G653" s="12"/>
      <c r="H653" s="12"/>
      <c r="I653" s="12"/>
      <c r="J653" s="12"/>
      <c r="K653" s="12"/>
      <c r="L653" s="12"/>
      <c r="M653" s="12"/>
      <c r="N653" s="12"/>
      <c r="O653" s="12"/>
      <c r="P653" s="12"/>
      <c r="Q653" s="12" t="s">
        <v>1570</v>
      </c>
      <c r="R653" s="12"/>
      <c r="S653" s="12"/>
      <c r="T653" s="12"/>
      <c r="U653" s="12" t="s">
        <v>1570</v>
      </c>
      <c r="V653" s="12"/>
      <c r="W653" s="12"/>
      <c r="X653" s="12" t="s">
        <v>1562</v>
      </c>
      <c r="Y653" s="12"/>
      <c r="Z653" s="12"/>
      <c r="AA653" s="12"/>
      <c r="AB653" s="12"/>
      <c r="AC653" s="12"/>
      <c r="AD653" s="17"/>
    </row>
    <row r="654" spans="2:30" s="3" customFormat="1" ht="27" x14ac:dyDescent="0.25">
      <c r="B654" s="10" t="s">
        <v>1142</v>
      </c>
      <c r="C654" s="25" t="s">
        <v>1143</v>
      </c>
      <c r="D654" s="16" t="str">
        <f>VLOOKUP(B654,'[1]ART 1'!A:E,5,FALSE)</f>
        <v>5</v>
      </c>
      <c r="E654" s="12" t="str">
        <f>VLOOKUP(B654,'[1]ART 2 A)'!A:E,5,FALSE)</f>
        <v>Ex.</v>
      </c>
      <c r="F654" s="12"/>
      <c r="G654" s="12" t="str">
        <f>VLOOKUP(B654,'[1]ART 3'!A:E,5,FALSE)</f>
        <v xml:space="preserve">Ex. </v>
      </c>
      <c r="H654" s="12"/>
      <c r="I654" s="12"/>
      <c r="J654" s="12" t="str">
        <f>VLOOKUP(B654,'[1]ART 6'!A:E,5,FALSE)</f>
        <v xml:space="preserve">5 </v>
      </c>
      <c r="K654" s="12" t="str">
        <f>VLOOKUP(B654,'[1]ART 7'!A:E,5,FALSE)</f>
        <v xml:space="preserve">5 </v>
      </c>
      <c r="L654" s="12"/>
      <c r="M654" s="12"/>
      <c r="N654" s="12" t="s">
        <v>1570</v>
      </c>
      <c r="O654" s="12" t="s">
        <v>1570</v>
      </c>
      <c r="P654" s="12"/>
      <c r="Q654" s="12" t="s">
        <v>1570</v>
      </c>
      <c r="R654" s="12"/>
      <c r="S654" s="12"/>
      <c r="T654" s="12"/>
      <c r="U654" s="12"/>
      <c r="V654" s="12"/>
      <c r="W654" s="12"/>
      <c r="X654" s="12" t="s">
        <v>1562</v>
      </c>
      <c r="Y654" s="12" t="s">
        <v>1570</v>
      </c>
      <c r="Z654" s="12"/>
      <c r="AA654" s="12"/>
      <c r="AB654" s="12"/>
      <c r="AC654" s="12"/>
      <c r="AD654" s="17"/>
    </row>
    <row r="655" spans="2:30" s="3" customFormat="1" ht="13.5" x14ac:dyDescent="0.25">
      <c r="B655" s="10" t="s">
        <v>1144</v>
      </c>
      <c r="C655" s="25" t="s">
        <v>53</v>
      </c>
      <c r="D655" s="16" t="str">
        <f>VLOOKUP(B655,'[1]ART 1'!A:E,5,FALSE)</f>
        <v>5</v>
      </c>
      <c r="E655" s="12" t="str">
        <f>VLOOKUP(B655,'[1]ART 2 A)'!A:E,5,FALSE)</f>
        <v>Ex.</v>
      </c>
      <c r="F655" s="12"/>
      <c r="G655" s="12" t="str">
        <f>VLOOKUP(B655,'[1]ART 3'!A:E,5,FALSE)</f>
        <v xml:space="preserve">Ex. </v>
      </c>
      <c r="H655" s="12" t="str">
        <f>VLOOKUP(B655,'[1]ART IV'!A:E,5,FALSE)</f>
        <v xml:space="preserve">Ex. </v>
      </c>
      <c r="I655" s="12"/>
      <c r="J655" s="12" t="str">
        <f>VLOOKUP(B655,'[1]ART 6'!A:E,5,FALSE)</f>
        <v xml:space="preserve">5 </v>
      </c>
      <c r="K655" s="12" t="str">
        <f>VLOOKUP(B655,'[1]ART 7'!A:E,5,FALSE)</f>
        <v xml:space="preserve">5 </v>
      </c>
      <c r="L655" s="12"/>
      <c r="M655" s="12"/>
      <c r="N655" s="12"/>
      <c r="O655" s="12" t="s">
        <v>1570</v>
      </c>
      <c r="P655" s="12"/>
      <c r="Q655" s="12" t="s">
        <v>1570</v>
      </c>
      <c r="R655" s="12"/>
      <c r="S655" s="12"/>
      <c r="T655" s="12"/>
      <c r="U655" s="12"/>
      <c r="V655" s="12"/>
      <c r="W655" s="12"/>
      <c r="X655" s="12" t="s">
        <v>1562</v>
      </c>
      <c r="Y655" s="12"/>
      <c r="Z655" s="12"/>
      <c r="AA655" s="12"/>
      <c r="AB655" s="12"/>
      <c r="AC655" s="12"/>
      <c r="AD655" s="17"/>
    </row>
    <row r="656" spans="2:30" s="3" customFormat="1" ht="27" x14ac:dyDescent="0.25">
      <c r="B656" s="10" t="s">
        <v>1145</v>
      </c>
      <c r="C656" s="25" t="s">
        <v>1146</v>
      </c>
      <c r="D656" s="16" t="str">
        <f>VLOOKUP(B656,'[1]ART 1'!A:E,5,FALSE)</f>
        <v>Ex.</v>
      </c>
      <c r="E656" s="12" t="str">
        <f>VLOOKUP(B656,'[1]ART 2 A)'!A:E,5,FALSE)</f>
        <v>Ex.</v>
      </c>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7"/>
    </row>
    <row r="657" spans="2:30" s="3" customFormat="1" ht="13.5" x14ac:dyDescent="0.25">
      <c r="B657" s="10" t="s">
        <v>1147</v>
      </c>
      <c r="C657" s="25" t="s">
        <v>53</v>
      </c>
      <c r="D657" s="16" t="str">
        <f>VLOOKUP(B657,'[1]ART 1'!A:E,5,FALSE)</f>
        <v>Ex.</v>
      </c>
      <c r="E657" s="12" t="str">
        <f>VLOOKUP(B657,'[1]ART 2 A)'!A:E,5,FALSE)</f>
        <v>Ex.</v>
      </c>
      <c r="F657" s="12"/>
      <c r="G657" s="12" t="str">
        <f>VLOOKUP(B657,'[1]ART 3'!A:E,5,FALSE)</f>
        <v xml:space="preserve">Ex. </v>
      </c>
      <c r="H657" s="12" t="str">
        <f>VLOOKUP(B657,'[1]ART IV'!A:E,5,FALSE)</f>
        <v xml:space="preserve">Ex. </v>
      </c>
      <c r="I657" s="12"/>
      <c r="J657" s="12"/>
      <c r="K657" s="12"/>
      <c r="L657" s="12"/>
      <c r="M657" s="12"/>
      <c r="N657" s="12"/>
      <c r="O657" s="12" t="s">
        <v>1570</v>
      </c>
      <c r="P657" s="12"/>
      <c r="Q657" s="12" t="s">
        <v>1570</v>
      </c>
      <c r="R657" s="12"/>
      <c r="S657" s="12" t="s">
        <v>1562</v>
      </c>
      <c r="T657" s="12"/>
      <c r="U657" s="12"/>
      <c r="V657" s="12"/>
      <c r="W657" s="12"/>
      <c r="X657" s="12" t="s">
        <v>1562</v>
      </c>
      <c r="Y657" s="12" t="s">
        <v>1570</v>
      </c>
      <c r="Z657" s="12"/>
      <c r="AA657" s="12"/>
      <c r="AB657" s="12"/>
      <c r="AC657" s="12"/>
      <c r="AD657" s="17"/>
    </row>
    <row r="658" spans="2:30" s="3" customFormat="1" ht="67.5" x14ac:dyDescent="0.25">
      <c r="B658" s="10" t="s">
        <v>1148</v>
      </c>
      <c r="C658" s="25" t="s">
        <v>1149</v>
      </c>
      <c r="D658" s="16" t="str">
        <f>VLOOKUP(B658,'[1]ART 1'!A:E,5,FALSE)</f>
        <v>Ex.</v>
      </c>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7"/>
    </row>
    <row r="659" spans="2:30" s="3" customFormat="1" ht="27" x14ac:dyDescent="0.25">
      <c r="B659" s="10" t="s">
        <v>1150</v>
      </c>
      <c r="C659" s="25" t="s">
        <v>1151</v>
      </c>
      <c r="D659" s="16"/>
      <c r="E659" s="12" t="str">
        <f>VLOOKUP(B659,'[1]ART 2 A)'!A:E,5,FALSE)</f>
        <v>Ex.</v>
      </c>
      <c r="F659" s="12"/>
      <c r="G659" s="12"/>
      <c r="H659" s="12"/>
      <c r="I659" s="12"/>
      <c r="J659" s="12"/>
      <c r="K659" s="12"/>
      <c r="L659" s="12"/>
      <c r="M659" s="12"/>
      <c r="N659" s="12"/>
      <c r="O659" s="12"/>
      <c r="P659" s="12"/>
      <c r="Q659" s="12"/>
      <c r="R659" s="12"/>
      <c r="S659" s="12"/>
      <c r="T659" s="12"/>
      <c r="U659" s="12"/>
      <c r="V659" s="12"/>
      <c r="W659" s="12"/>
      <c r="X659" s="12" t="s">
        <v>1562</v>
      </c>
      <c r="Y659" s="12"/>
      <c r="Z659" s="12"/>
      <c r="AA659" s="12"/>
      <c r="AB659" s="12"/>
      <c r="AC659" s="12"/>
      <c r="AD659" s="17"/>
    </row>
    <row r="660" spans="2:30" s="3" customFormat="1" ht="121.5" x14ac:dyDescent="0.25">
      <c r="B660" s="10" t="s">
        <v>1152</v>
      </c>
      <c r="C660" s="25" t="s">
        <v>1153</v>
      </c>
      <c r="D660" s="16"/>
      <c r="E660" s="12" t="str">
        <f>VLOOKUP(B660,'[1]ART 2 A)'!A:E,5,FALSE)</f>
        <v>Ex.</v>
      </c>
      <c r="F660" s="12"/>
      <c r="G660" s="12"/>
      <c r="H660" s="12"/>
      <c r="I660" s="12"/>
      <c r="J660" s="12"/>
      <c r="K660" s="12"/>
      <c r="L660" s="12"/>
      <c r="M660" s="12"/>
      <c r="N660" s="12"/>
      <c r="O660" s="12"/>
      <c r="P660" s="12"/>
      <c r="Q660" s="12"/>
      <c r="R660" s="12"/>
      <c r="S660" s="12"/>
      <c r="T660" s="12"/>
      <c r="U660" s="12"/>
      <c r="V660" s="12"/>
      <c r="W660" s="12"/>
      <c r="X660" s="12" t="s">
        <v>1562</v>
      </c>
      <c r="Y660" s="12"/>
      <c r="Z660" s="12"/>
      <c r="AA660" s="12"/>
      <c r="AB660" s="12"/>
      <c r="AC660" s="12"/>
      <c r="AD660" s="17"/>
    </row>
    <row r="661" spans="2:30" s="3" customFormat="1" ht="13.5" x14ac:dyDescent="0.25">
      <c r="B661" s="10" t="s">
        <v>1154</v>
      </c>
      <c r="C661" s="25" t="s">
        <v>1155</v>
      </c>
      <c r="D661" s="16" t="str">
        <f>VLOOKUP(B661,'[1]ART 1'!A:E,5,FALSE)</f>
        <v>5</v>
      </c>
      <c r="E661" s="12" t="str">
        <f>VLOOKUP(B661,'[1]ART 2 A)'!A:E,5,FALSE)</f>
        <v>Ex.</v>
      </c>
      <c r="F661" s="12"/>
      <c r="G661" s="12" t="str">
        <f>VLOOKUP(B661,'[1]ART 3'!A:E,5,FALSE)</f>
        <v xml:space="preserve">Ex. </v>
      </c>
      <c r="H661" s="12" t="str">
        <f>VLOOKUP(B661,'[1]ART IV'!A:E,5,FALSE)</f>
        <v xml:space="preserve">Ex. </v>
      </c>
      <c r="I661" s="12"/>
      <c r="J661" s="12" t="str">
        <f>VLOOKUP(B661,'[1]ART 6'!A:E,5,FALSE)</f>
        <v xml:space="preserve">5 </v>
      </c>
      <c r="K661" s="12" t="str">
        <f>VLOOKUP(B661,'[1]ART 7'!A:E,5,FALSE)</f>
        <v xml:space="preserve">5 </v>
      </c>
      <c r="L661" s="12"/>
      <c r="M661" s="12"/>
      <c r="N661" s="12" t="s">
        <v>1570</v>
      </c>
      <c r="O661" s="12" t="s">
        <v>1570</v>
      </c>
      <c r="P661" s="12" t="s">
        <v>1570</v>
      </c>
      <c r="Q661" s="12" t="s">
        <v>1570</v>
      </c>
      <c r="R661" s="12"/>
      <c r="S661" s="12"/>
      <c r="T661" s="12"/>
      <c r="U661" s="12"/>
      <c r="V661" s="12"/>
      <c r="W661" s="12"/>
      <c r="X661" s="12" t="s">
        <v>1562</v>
      </c>
      <c r="Y661" s="12"/>
      <c r="Z661" s="12"/>
      <c r="AA661" s="12"/>
      <c r="AB661" s="12"/>
      <c r="AC661" s="12"/>
      <c r="AD661" s="17"/>
    </row>
    <row r="662" spans="2:30" s="3" customFormat="1" ht="54" x14ac:dyDescent="0.25">
      <c r="B662" s="10" t="s">
        <v>1156</v>
      </c>
      <c r="C662" s="25" t="s">
        <v>1157</v>
      </c>
      <c r="D662" s="16" t="str">
        <f>VLOOKUP(B662,'[1]ART 1'!A:E,5,FALSE)</f>
        <v>5</v>
      </c>
      <c r="E662" s="12" t="str">
        <f>VLOOKUP(B662,'[1]ART 2 A)'!A:E,5,FALSE)</f>
        <v>Ex.</v>
      </c>
      <c r="F662" s="12"/>
      <c r="G662" s="12" t="str">
        <f>VLOOKUP(B662,'[1]ART 3'!A:E,5,FALSE)</f>
        <v xml:space="preserve">Ex. </v>
      </c>
      <c r="H662" s="12" t="str">
        <f>VLOOKUP(B662,'[1]ART IV'!A:E,5,FALSE)</f>
        <v xml:space="preserve">Ex. </v>
      </c>
      <c r="I662" s="12"/>
      <c r="J662" s="12" t="str">
        <f>VLOOKUP(B662,'[1]ART 6'!A:E,5,FALSE)</f>
        <v xml:space="preserve">5 </v>
      </c>
      <c r="K662" s="12" t="str">
        <f>VLOOKUP(B662,'[1]ART 7'!A:E,5,FALSE)</f>
        <v xml:space="preserve">5 </v>
      </c>
      <c r="L662" s="12"/>
      <c r="M662" s="12"/>
      <c r="N662" s="12" t="s">
        <v>1570</v>
      </c>
      <c r="O662" s="12" t="s">
        <v>1570</v>
      </c>
      <c r="P662" s="12"/>
      <c r="Q662" s="12" t="s">
        <v>1570</v>
      </c>
      <c r="R662" s="12" t="s">
        <v>1570</v>
      </c>
      <c r="S662" s="12"/>
      <c r="T662" s="12"/>
      <c r="U662" s="12" t="s">
        <v>1570</v>
      </c>
      <c r="V662" s="12"/>
      <c r="W662" s="12"/>
      <c r="X662" s="12" t="s">
        <v>1562</v>
      </c>
      <c r="Y662" s="12" t="s">
        <v>1570</v>
      </c>
      <c r="Z662" s="12"/>
      <c r="AA662" s="12"/>
      <c r="AB662" s="12"/>
      <c r="AC662" s="12"/>
      <c r="AD662" s="17"/>
    </row>
    <row r="663" spans="2:30" s="3" customFormat="1" ht="81" x14ac:dyDescent="0.25">
      <c r="B663" s="10" t="s">
        <v>1158</v>
      </c>
      <c r="C663" s="25" t="s">
        <v>1159</v>
      </c>
      <c r="D663" s="16" t="str">
        <f>VLOOKUP(B663,'[1]ART 1'!A:E,5,FALSE)</f>
        <v>5</v>
      </c>
      <c r="E663" s="12" t="str">
        <f>VLOOKUP(B663,'[1]ART 2 A)'!A:E,5,FALSE)</f>
        <v>Ex.</v>
      </c>
      <c r="F663" s="12"/>
      <c r="G663" s="12" t="str">
        <f>VLOOKUP(B663,'[1]ART 3'!A:E,5,FALSE)</f>
        <v xml:space="preserve">Ex. </v>
      </c>
      <c r="H663" s="12"/>
      <c r="I663" s="12"/>
      <c r="J663" s="12" t="str">
        <f>VLOOKUP(B663,'[1]ART 6'!A:E,5,FALSE)</f>
        <v xml:space="preserve">5 </v>
      </c>
      <c r="K663" s="12"/>
      <c r="L663" s="12"/>
      <c r="M663" s="12"/>
      <c r="N663" s="12" t="s">
        <v>1570</v>
      </c>
      <c r="O663" s="12" t="s">
        <v>1570</v>
      </c>
      <c r="P663" s="12"/>
      <c r="Q663" s="12" t="s">
        <v>1570</v>
      </c>
      <c r="R663" s="12"/>
      <c r="S663" s="12"/>
      <c r="T663" s="12"/>
      <c r="U663" s="12" t="s">
        <v>1570</v>
      </c>
      <c r="V663" s="12"/>
      <c r="W663" s="12"/>
      <c r="X663" s="12" t="s">
        <v>1562</v>
      </c>
      <c r="Y663" s="12"/>
      <c r="Z663" s="12"/>
      <c r="AA663" s="12"/>
      <c r="AB663" s="12"/>
      <c r="AC663" s="12"/>
      <c r="AD663" s="17"/>
    </row>
    <row r="664" spans="2:30" s="3" customFormat="1" ht="54" x14ac:dyDescent="0.25">
      <c r="B664" s="10" t="s">
        <v>1160</v>
      </c>
      <c r="C664" s="25" t="s">
        <v>1161</v>
      </c>
      <c r="D664" s="16"/>
      <c r="E664" s="12" t="str">
        <f>VLOOKUP(B664,'[1]ART 2 A)'!A:E,5,FALSE)</f>
        <v>Ex.</v>
      </c>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7"/>
    </row>
    <row r="665" spans="2:30" s="3" customFormat="1" ht="27" x14ac:dyDescent="0.25">
      <c r="B665" s="10" t="s">
        <v>1162</v>
      </c>
      <c r="C665" s="25" t="s">
        <v>1163</v>
      </c>
      <c r="D665" s="16" t="str">
        <f>VLOOKUP(B665,'[1]ART 1'!A:E,5,FALSE)</f>
        <v>5</v>
      </c>
      <c r="E665" s="12" t="str">
        <f>VLOOKUP(B665,'[1]ART 2 A)'!A:E,5,FALSE)</f>
        <v>Ex.</v>
      </c>
      <c r="F665" s="12"/>
      <c r="G665" s="12" t="str">
        <f>VLOOKUP(B665,'[1]ART 3'!A:E,5,FALSE)</f>
        <v xml:space="preserve">Ex. </v>
      </c>
      <c r="H665" s="12"/>
      <c r="I665" s="12"/>
      <c r="J665" s="12"/>
      <c r="K665" s="12"/>
      <c r="L665" s="12"/>
      <c r="M665" s="12"/>
      <c r="N665" s="12"/>
      <c r="O665" s="12"/>
      <c r="P665" s="12"/>
      <c r="Q665" s="12"/>
      <c r="R665" s="12"/>
      <c r="S665" s="12"/>
      <c r="T665" s="12"/>
      <c r="U665" s="12"/>
      <c r="V665" s="12"/>
      <c r="W665" s="12"/>
      <c r="X665" s="12" t="s">
        <v>1562</v>
      </c>
      <c r="Y665" s="12"/>
      <c r="Z665" s="12"/>
      <c r="AA665" s="12"/>
      <c r="AB665" s="12"/>
      <c r="AC665" s="12"/>
      <c r="AD665" s="17"/>
    </row>
    <row r="666" spans="2:30" s="3" customFormat="1" ht="27" x14ac:dyDescent="0.25">
      <c r="B666" s="10" t="s">
        <v>1164</v>
      </c>
      <c r="C666" s="25" t="s">
        <v>1165</v>
      </c>
      <c r="D666" s="16" t="str">
        <f>VLOOKUP(B666,'[1]ART 1'!A:E,5,FALSE)</f>
        <v>5</v>
      </c>
      <c r="E666" s="12" t="str">
        <f>VLOOKUP(B666,'[1]ART 2 A)'!A:E,5,FALSE)</f>
        <v>Ex.</v>
      </c>
      <c r="F666" s="12"/>
      <c r="G666" s="12"/>
      <c r="H666" s="12"/>
      <c r="I666" s="12"/>
      <c r="J666" s="12"/>
      <c r="K666" s="12"/>
      <c r="L666" s="12"/>
      <c r="M666" s="12"/>
      <c r="N666" s="12"/>
      <c r="O666" s="12"/>
      <c r="P666" s="12"/>
      <c r="Q666" s="12"/>
      <c r="R666" s="12"/>
      <c r="S666" s="12"/>
      <c r="T666" s="12"/>
      <c r="U666" s="12"/>
      <c r="V666" s="12"/>
      <c r="W666" s="12"/>
      <c r="X666" s="12" t="s">
        <v>1562</v>
      </c>
      <c r="Y666" s="12"/>
      <c r="Z666" s="12"/>
      <c r="AA666" s="12"/>
      <c r="AB666" s="12"/>
      <c r="AC666" s="12"/>
      <c r="AD666" s="17"/>
    </row>
    <row r="667" spans="2:30" s="3" customFormat="1" ht="27" x14ac:dyDescent="0.25">
      <c r="B667" s="10" t="s">
        <v>1166</v>
      </c>
      <c r="C667" s="25" t="s">
        <v>1167</v>
      </c>
      <c r="D667" s="16" t="str">
        <f>VLOOKUP(B667,'[1]ART 1'!A:E,5,FALSE)</f>
        <v>Ex.</v>
      </c>
      <c r="E667" s="12" t="str">
        <f>VLOOKUP(B667,'[1]ART 2 A)'!A:E,5,FALSE)</f>
        <v>Ex.</v>
      </c>
      <c r="F667" s="12"/>
      <c r="G667" s="12"/>
      <c r="H667" s="12"/>
      <c r="I667" s="12"/>
      <c r="J667" s="12"/>
      <c r="K667" s="12" t="str">
        <f>VLOOKUP(B667,'[1]ART 7'!A:E,5,FALSE)</f>
        <v xml:space="preserve">5 </v>
      </c>
      <c r="L667" s="12"/>
      <c r="M667" s="12"/>
      <c r="N667" s="12"/>
      <c r="O667" s="12"/>
      <c r="P667" s="12"/>
      <c r="Q667" s="12"/>
      <c r="R667" s="12"/>
      <c r="S667" s="12"/>
      <c r="T667" s="12"/>
      <c r="U667" s="12"/>
      <c r="V667" s="12"/>
      <c r="W667" s="12"/>
      <c r="X667" s="12" t="s">
        <v>1562</v>
      </c>
      <c r="Y667" s="12"/>
      <c r="Z667" s="12"/>
      <c r="AA667" s="12"/>
      <c r="AB667" s="12"/>
      <c r="AC667" s="12"/>
      <c r="AD667" s="17"/>
    </row>
    <row r="668" spans="2:30" s="3" customFormat="1" ht="54" x14ac:dyDescent="0.25">
      <c r="B668" s="10" t="s">
        <v>1168</v>
      </c>
      <c r="C668" s="25" t="s">
        <v>1169</v>
      </c>
      <c r="D668" s="16" t="str">
        <f>VLOOKUP(B668,'[1]ART 1'!A:E,5,FALSE)</f>
        <v>Ex.</v>
      </c>
      <c r="E668" s="12" t="str">
        <f>VLOOKUP(B668,'[1]ART 2 A)'!A:E,5,FALSE)</f>
        <v>Ex.</v>
      </c>
      <c r="F668" s="12"/>
      <c r="G668" s="12"/>
      <c r="H668" s="12"/>
      <c r="I668" s="12"/>
      <c r="J668" s="12"/>
      <c r="K668" s="12" t="str">
        <f>VLOOKUP(B668,'[1]ART 7'!A:E,5,FALSE)</f>
        <v xml:space="preserve">5 </v>
      </c>
      <c r="L668" s="12"/>
      <c r="M668" s="12"/>
      <c r="N668" s="12"/>
      <c r="O668" s="12"/>
      <c r="P668" s="12"/>
      <c r="Q668" s="12"/>
      <c r="R668" s="12"/>
      <c r="S668" s="12"/>
      <c r="T668" s="12"/>
      <c r="U668" s="12"/>
      <c r="V668" s="12"/>
      <c r="W668" s="12"/>
      <c r="X668" s="12" t="s">
        <v>1562</v>
      </c>
      <c r="Y668" s="12"/>
      <c r="Z668" s="12"/>
      <c r="AA668" s="12"/>
      <c r="AB668" s="12"/>
      <c r="AC668" s="12"/>
      <c r="AD668" s="17"/>
    </row>
    <row r="669" spans="2:30" s="3" customFormat="1" ht="13.5" x14ac:dyDescent="0.25">
      <c r="B669" s="10" t="s">
        <v>1170</v>
      </c>
      <c r="C669" s="25" t="s">
        <v>1171</v>
      </c>
      <c r="D669" s="16" t="str">
        <f>VLOOKUP(B669,'[1]ART 1'!A:E,5,FALSE)</f>
        <v>Ex.</v>
      </c>
      <c r="E669" s="12" t="str">
        <f>VLOOKUP(B669,'[1]ART 2 A)'!A:E,5,FALSE)</f>
        <v>Ex.</v>
      </c>
      <c r="F669" s="12"/>
      <c r="G669" s="12"/>
      <c r="H669" s="12"/>
      <c r="I669" s="12"/>
      <c r="J669" s="12"/>
      <c r="K669" s="12"/>
      <c r="L669" s="12"/>
      <c r="M669" s="12"/>
      <c r="N669" s="12"/>
      <c r="O669" s="12" t="s">
        <v>1570</v>
      </c>
      <c r="P669" s="12"/>
      <c r="Q669" s="12"/>
      <c r="R669" s="12"/>
      <c r="S669" s="12"/>
      <c r="T669" s="12"/>
      <c r="U669" s="12" t="s">
        <v>1570</v>
      </c>
      <c r="V669" s="12"/>
      <c r="W669" s="12"/>
      <c r="X669" s="12" t="s">
        <v>1562</v>
      </c>
      <c r="Y669" s="12"/>
      <c r="Z669" s="12"/>
      <c r="AA669" s="12"/>
      <c r="AB669" s="12"/>
      <c r="AC669" s="12"/>
      <c r="AD669" s="17"/>
    </row>
    <row r="670" spans="2:30" s="3" customFormat="1" ht="67.5" x14ac:dyDescent="0.25">
      <c r="B670" s="10" t="s">
        <v>1172</v>
      </c>
      <c r="C670" s="25" t="s">
        <v>1173</v>
      </c>
      <c r="D670" s="16" t="str">
        <f>VLOOKUP(B670,'[1]ART 1'!A:E,5,FALSE)</f>
        <v>Ex.</v>
      </c>
      <c r="E670" s="12" t="str">
        <f>VLOOKUP(B670,'[1]ART 2 A)'!A:E,5,FALSE)</f>
        <v>Ex.</v>
      </c>
      <c r="F670" s="12"/>
      <c r="G670" s="12" t="str">
        <f>VLOOKUP(B670,'[1]ART 3'!A:E,5,FALSE)</f>
        <v xml:space="preserve">Ex. </v>
      </c>
      <c r="H670" s="12" t="str">
        <f>VLOOKUP(B670,'[1]ART IV'!A:E,5,FALSE)</f>
        <v xml:space="preserve">Ex. </v>
      </c>
      <c r="I670" s="12"/>
      <c r="J670" s="12"/>
      <c r="K670" s="12"/>
      <c r="L670" s="12"/>
      <c r="M670" s="12"/>
      <c r="N670" s="12"/>
      <c r="O670" s="12" t="s">
        <v>1570</v>
      </c>
      <c r="P670" s="12"/>
      <c r="Q670" s="12" t="s">
        <v>1570</v>
      </c>
      <c r="R670" s="12"/>
      <c r="S670" s="12" t="s">
        <v>1562</v>
      </c>
      <c r="T670" s="12"/>
      <c r="U670" s="12"/>
      <c r="V670" s="12"/>
      <c r="W670" s="12"/>
      <c r="X670" s="12" t="s">
        <v>1703</v>
      </c>
      <c r="Y670" s="12" t="s">
        <v>1570</v>
      </c>
      <c r="Z670" s="12"/>
      <c r="AA670" s="12"/>
      <c r="AB670" s="12"/>
      <c r="AC670" s="12"/>
      <c r="AD670" s="17"/>
    </row>
    <row r="671" spans="2:30" s="3" customFormat="1" ht="148.5" x14ac:dyDescent="0.25">
      <c r="B671" s="10" t="s">
        <v>1174</v>
      </c>
      <c r="C671" s="25" t="s">
        <v>53</v>
      </c>
      <c r="D671" s="16" t="str">
        <f>VLOOKUP(B671,'[1]ART 1'!A:E,5,FALSE)</f>
        <v>Ex.</v>
      </c>
      <c r="E671" s="12" t="str">
        <f>VLOOKUP(B671,'[1]ART 2 A)'!A:E,5,FALSE)</f>
        <v>Ex.</v>
      </c>
      <c r="F671" s="12"/>
      <c r="G671" s="12"/>
      <c r="H671" s="12"/>
      <c r="I671" s="12"/>
      <c r="J671" s="12"/>
      <c r="K671" s="12"/>
      <c r="L671" s="12"/>
      <c r="M671" s="12"/>
      <c r="N671" s="12"/>
      <c r="O671" s="12" t="s">
        <v>1704</v>
      </c>
      <c r="P671" s="12"/>
      <c r="Q671" s="12" t="s">
        <v>1705</v>
      </c>
      <c r="R671" s="12"/>
      <c r="S671" s="12"/>
      <c r="T671" s="12"/>
      <c r="U671" s="12" t="s">
        <v>1706</v>
      </c>
      <c r="V671" s="12"/>
      <c r="W671" s="12"/>
      <c r="X671" s="12" t="s">
        <v>1562</v>
      </c>
      <c r="Y671" s="12"/>
      <c r="Z671" s="12"/>
      <c r="AA671" s="12"/>
      <c r="AB671" s="12"/>
      <c r="AC671" s="12"/>
      <c r="AD671" s="17"/>
    </row>
    <row r="672" spans="2:30" s="3" customFormat="1" ht="135" x14ac:dyDescent="0.25">
      <c r="B672" s="10" t="s">
        <v>1175</v>
      </c>
      <c r="C672" s="25" t="s">
        <v>53</v>
      </c>
      <c r="D672" s="16" t="str">
        <f>VLOOKUP(B672,'[1]ART 1'!A:E,5,FALSE)</f>
        <v>Ex.</v>
      </c>
      <c r="E672" s="12" t="str">
        <f>VLOOKUP(B672,'[1]ART 2 A)'!A:E,5,FALSE)</f>
        <v>Ex.</v>
      </c>
      <c r="F672" s="12"/>
      <c r="G672" s="12" t="str">
        <f>VLOOKUP(B672,'[1]ART 3'!A:E,5,FALSE)</f>
        <v>Ex. Únicamente: De potencia inferior o igual a 75 kVA.</v>
      </c>
      <c r="H672" s="12"/>
      <c r="I672" s="12"/>
      <c r="J672" s="12"/>
      <c r="K672" s="12" t="str">
        <f>VLOOKUP(B672,'[1]ART 7'!A:E,5,FALSE)</f>
        <v>5 Únicamente: De potencia superior a 375 kVA pero inferior o igual a 750 kVA.</v>
      </c>
      <c r="L672" s="12"/>
      <c r="M672" s="12"/>
      <c r="N672" s="12"/>
      <c r="O672" s="12"/>
      <c r="P672" s="12"/>
      <c r="Q672" s="12"/>
      <c r="R672" s="12"/>
      <c r="S672" s="12"/>
      <c r="T672" s="12"/>
      <c r="U672" s="12"/>
      <c r="V672" s="12"/>
      <c r="W672" s="12"/>
      <c r="X672" s="12" t="s">
        <v>1562</v>
      </c>
      <c r="Y672" s="12"/>
      <c r="Z672" s="12"/>
      <c r="AA672" s="12"/>
      <c r="AB672" s="12"/>
      <c r="AC672" s="12"/>
      <c r="AD672" s="17"/>
    </row>
    <row r="673" spans="2:30" s="3" customFormat="1" ht="27" x14ac:dyDescent="0.25">
      <c r="B673" s="10" t="s">
        <v>1176</v>
      </c>
      <c r="C673" s="25" t="s">
        <v>1163</v>
      </c>
      <c r="D673" s="16" t="str">
        <f>VLOOKUP(B673,'[1]ART 1'!A:E,5,FALSE)</f>
        <v>Ex.</v>
      </c>
      <c r="E673" s="12" t="str">
        <f>VLOOKUP(B673,'[1]ART 2 A)'!A:E,5,FALSE)</f>
        <v>Ex.</v>
      </c>
      <c r="F673" s="12"/>
      <c r="G673" s="12"/>
      <c r="H673" s="12"/>
      <c r="I673" s="12"/>
      <c r="J673" s="12"/>
      <c r="K673" s="12"/>
      <c r="L673" s="12"/>
      <c r="M673" s="12"/>
      <c r="N673" s="12"/>
      <c r="O673" s="12"/>
      <c r="P673" s="12"/>
      <c r="Q673" s="12" t="s">
        <v>1570</v>
      </c>
      <c r="R673" s="12"/>
      <c r="S673" s="12"/>
      <c r="T673" s="12"/>
      <c r="U673" s="12"/>
      <c r="V673" s="12"/>
      <c r="W673" s="12"/>
      <c r="X673" s="12" t="s">
        <v>1562</v>
      </c>
      <c r="Y673" s="12"/>
      <c r="Z673" s="12"/>
      <c r="AA673" s="12"/>
      <c r="AB673" s="12"/>
      <c r="AC673" s="12"/>
      <c r="AD673" s="17"/>
    </row>
    <row r="674" spans="2:30" s="3" customFormat="1" ht="27" x14ac:dyDescent="0.25">
      <c r="B674" s="10" t="s">
        <v>1177</v>
      </c>
      <c r="C674" s="25" t="s">
        <v>1165</v>
      </c>
      <c r="D674" s="16" t="str">
        <f>VLOOKUP(B674,'[1]ART 1'!A:E,5,FALSE)</f>
        <v>Ex.</v>
      </c>
      <c r="E674" s="12" t="str">
        <f>VLOOKUP(B674,'[1]ART 2 A)'!A:E,5,FALSE)</f>
        <v>Ex.</v>
      </c>
      <c r="F674" s="12"/>
      <c r="G674" s="12"/>
      <c r="H674" s="12"/>
      <c r="I674" s="12"/>
      <c r="J674" s="12"/>
      <c r="K674" s="12"/>
      <c r="L674" s="12"/>
      <c r="M674" s="12"/>
      <c r="N674" s="12"/>
      <c r="O674" s="12"/>
      <c r="P674" s="12"/>
      <c r="Q674" s="12"/>
      <c r="R674" s="12"/>
      <c r="S674" s="12"/>
      <c r="T674" s="12"/>
      <c r="U674" s="12"/>
      <c r="V674" s="12"/>
      <c r="W674" s="12"/>
      <c r="X674" s="12" t="s">
        <v>1562</v>
      </c>
      <c r="Y674" s="12"/>
      <c r="Z674" s="12"/>
      <c r="AA674" s="12"/>
      <c r="AB674" s="12"/>
      <c r="AC674" s="12"/>
      <c r="AD674" s="17"/>
    </row>
    <row r="675" spans="2:30" s="3" customFormat="1" ht="13.5" x14ac:dyDescent="0.25">
      <c r="B675" s="10" t="s">
        <v>1178</v>
      </c>
      <c r="C675" s="25" t="s">
        <v>53</v>
      </c>
      <c r="D675" s="16"/>
      <c r="E675" s="12"/>
      <c r="F675" s="12"/>
      <c r="G675" s="12"/>
      <c r="H675" s="12"/>
      <c r="I675" s="12"/>
      <c r="J675" s="12"/>
      <c r="K675" s="12"/>
      <c r="L675" s="12"/>
      <c r="M675" s="12"/>
      <c r="N675" s="12"/>
      <c r="O675" s="12"/>
      <c r="P675" s="12"/>
      <c r="Q675" s="12"/>
      <c r="R675" s="12"/>
      <c r="S675" s="12"/>
      <c r="T675" s="12"/>
      <c r="U675" s="12"/>
      <c r="V675" s="12"/>
      <c r="W675" s="12"/>
      <c r="X675" s="12" t="s">
        <v>1562</v>
      </c>
      <c r="Y675" s="12"/>
      <c r="Z675" s="12"/>
      <c r="AA675" s="12"/>
      <c r="AB675" s="12"/>
      <c r="AC675" s="12"/>
      <c r="AD675" s="17"/>
    </row>
    <row r="676" spans="2:30" s="3" customFormat="1" ht="135" x14ac:dyDescent="0.25">
      <c r="B676" s="10" t="s">
        <v>1179</v>
      </c>
      <c r="C676" s="25" t="s">
        <v>1180</v>
      </c>
      <c r="D676" s="16" t="str">
        <f>VLOOKUP(B676,'[1]ART 1'!A:E,5,FALSE)</f>
        <v>Ex.Excepto: Con capacidad nominal de generación superior a 1,500 kVA pero inferior o igual a 2,000 kVA.</v>
      </c>
      <c r="E676" s="12" t="str">
        <f>VLOOKUP(B676,'[1]ART 2 A)'!A:E,5,FALSE)</f>
        <v>Ex.Excepto: Con capacidad nominal de generación superior a 1,500 kVA pero inferior o igual a 2,000 kVA.</v>
      </c>
      <c r="F676" s="12"/>
      <c r="G676" s="12"/>
      <c r="H676" s="12"/>
      <c r="I676" s="12"/>
      <c r="J676" s="12"/>
      <c r="K676" s="12"/>
      <c r="L676" s="12"/>
      <c r="M676" s="12"/>
      <c r="N676" s="12"/>
      <c r="O676" s="12" t="s">
        <v>1707</v>
      </c>
      <c r="P676" s="12"/>
      <c r="Q676" s="12"/>
      <c r="R676" s="12"/>
      <c r="S676" s="12"/>
      <c r="T676" s="12"/>
      <c r="U676" s="12"/>
      <c r="V676" s="12"/>
      <c r="W676" s="12"/>
      <c r="X676" s="12" t="s">
        <v>1708</v>
      </c>
      <c r="Y676" s="12"/>
      <c r="Z676" s="12"/>
      <c r="AA676" s="12"/>
      <c r="AB676" s="12"/>
      <c r="AC676" s="12"/>
      <c r="AD676" s="17"/>
    </row>
    <row r="677" spans="2:30" s="3" customFormat="1" ht="13.5" x14ac:dyDescent="0.25">
      <c r="B677" s="10" t="s">
        <v>1181</v>
      </c>
      <c r="C677" s="25" t="s">
        <v>53</v>
      </c>
      <c r="D677" s="16"/>
      <c r="E677" s="12"/>
      <c r="F677" s="12"/>
      <c r="G677" s="12"/>
      <c r="H677" s="12"/>
      <c r="I677" s="12"/>
      <c r="J677" s="12"/>
      <c r="K677" s="12"/>
      <c r="L677" s="12"/>
      <c r="M677" s="12"/>
      <c r="N677" s="12"/>
      <c r="O677" s="12"/>
      <c r="P677" s="12"/>
      <c r="Q677" s="12"/>
      <c r="R677" s="12"/>
      <c r="S677" s="12"/>
      <c r="T677" s="12"/>
      <c r="U677" s="12"/>
      <c r="V677" s="12"/>
      <c r="W677" s="12"/>
      <c r="X677" s="12" t="s">
        <v>1562</v>
      </c>
      <c r="Y677" s="12"/>
      <c r="Z677" s="12"/>
      <c r="AA677" s="12"/>
      <c r="AB677" s="12"/>
      <c r="AC677" s="12"/>
      <c r="AD677" s="17"/>
    </row>
    <row r="678" spans="2:30" s="3" customFormat="1" ht="13.5" x14ac:dyDescent="0.25">
      <c r="B678" s="10" t="s">
        <v>1182</v>
      </c>
      <c r="C678" s="25" t="s">
        <v>1183</v>
      </c>
      <c r="D678" s="16" t="str">
        <f>VLOOKUP(B678,'[1]ART 1'!A:E,5,FALSE)</f>
        <v>Ex.</v>
      </c>
      <c r="E678" s="12" t="str">
        <f>VLOOKUP(B678,'[1]ART 2 A)'!A:E,5,FALSE)</f>
        <v>Ex.</v>
      </c>
      <c r="F678" s="12"/>
      <c r="G678" s="12"/>
      <c r="H678" s="12"/>
      <c r="I678" s="12"/>
      <c r="J678" s="12"/>
      <c r="K678" s="12"/>
      <c r="L678" s="12"/>
      <c r="M678" s="12"/>
      <c r="N678" s="12"/>
      <c r="O678" s="12"/>
      <c r="P678" s="12"/>
      <c r="Q678" s="12"/>
      <c r="R678" s="12"/>
      <c r="S678" s="12"/>
      <c r="T678" s="12"/>
      <c r="U678" s="12"/>
      <c r="V678" s="12"/>
      <c r="W678" s="12"/>
      <c r="X678" s="12" t="s">
        <v>1562</v>
      </c>
      <c r="Y678" s="12"/>
      <c r="Z678" s="12"/>
      <c r="AA678" s="12"/>
      <c r="AB678" s="12"/>
      <c r="AC678" s="12"/>
      <c r="AD678" s="17"/>
    </row>
    <row r="679" spans="2:30" s="3" customFormat="1" ht="13.5" x14ac:dyDescent="0.25">
      <c r="B679" s="10" t="s">
        <v>1184</v>
      </c>
      <c r="C679" s="25" t="s">
        <v>1185</v>
      </c>
      <c r="D679" s="16"/>
      <c r="E679" s="12" t="str">
        <f>VLOOKUP(B679,'[1]ART 2 A)'!A:E,5,FALSE)</f>
        <v>Ex.</v>
      </c>
      <c r="F679" s="12"/>
      <c r="G679" s="12"/>
      <c r="H679" s="12"/>
      <c r="I679" s="12"/>
      <c r="J679" s="12"/>
      <c r="K679" s="12"/>
      <c r="L679" s="12"/>
      <c r="M679" s="12"/>
      <c r="N679" s="12"/>
      <c r="O679" s="12"/>
      <c r="P679" s="12"/>
      <c r="Q679" s="12"/>
      <c r="R679" s="12"/>
      <c r="S679" s="12"/>
      <c r="T679" s="12"/>
      <c r="U679" s="12"/>
      <c r="V679" s="12"/>
      <c r="W679" s="12"/>
      <c r="X679" s="12" t="s">
        <v>1562</v>
      </c>
      <c r="Y679" s="12"/>
      <c r="Z679" s="12"/>
      <c r="AA679" s="12"/>
      <c r="AB679" s="12"/>
      <c r="AC679" s="12"/>
      <c r="AD679" s="17"/>
    </row>
    <row r="680" spans="2:30" s="3" customFormat="1" ht="54" x14ac:dyDescent="0.25">
      <c r="B680" s="10" t="s">
        <v>1186</v>
      </c>
      <c r="C680" s="25" t="s">
        <v>1187</v>
      </c>
      <c r="D680" s="16"/>
      <c r="E680" s="12" t="str">
        <f>VLOOKUP(B680,'[1]ART 2 A)'!A:E,5,FALSE)</f>
        <v>Ex.</v>
      </c>
      <c r="F680" s="12"/>
      <c r="G680" s="12"/>
      <c r="H680" s="12"/>
      <c r="I680" s="12"/>
      <c r="J680" s="12"/>
      <c r="K680" s="12"/>
      <c r="L680" s="12"/>
      <c r="M680" s="12"/>
      <c r="N680" s="12"/>
      <c r="O680" s="12"/>
      <c r="P680" s="12"/>
      <c r="Q680" s="12"/>
      <c r="R680" s="12"/>
      <c r="S680" s="12"/>
      <c r="T680" s="12"/>
      <c r="U680" s="12"/>
      <c r="V680" s="12"/>
      <c r="W680" s="12"/>
      <c r="X680" s="12" t="s">
        <v>1709</v>
      </c>
      <c r="Y680" s="12"/>
      <c r="Z680" s="12"/>
      <c r="AA680" s="12"/>
      <c r="AB680" s="12"/>
      <c r="AC680" s="12"/>
      <c r="AD680" s="17"/>
    </row>
    <row r="681" spans="2:30" s="3" customFormat="1" ht="27" x14ac:dyDescent="0.25">
      <c r="B681" s="10" t="s">
        <v>1188</v>
      </c>
      <c r="C681" s="25" t="s">
        <v>1189</v>
      </c>
      <c r="D681" s="16" t="str">
        <f>VLOOKUP(B681,'[1]ART 1'!A:E,5,FALSE)</f>
        <v>Ex.</v>
      </c>
      <c r="E681" s="12" t="str">
        <f>VLOOKUP(B681,'[1]ART 2 A)'!A:E,5,FALSE)</f>
        <v>Ex.</v>
      </c>
      <c r="F681" s="12"/>
      <c r="G681" s="12"/>
      <c r="H681" s="12"/>
      <c r="I681" s="12"/>
      <c r="J681" s="12"/>
      <c r="K681" s="12"/>
      <c r="L681" s="12"/>
      <c r="M681" s="12"/>
      <c r="N681" s="12"/>
      <c r="O681" s="12"/>
      <c r="P681" s="12"/>
      <c r="Q681" s="12"/>
      <c r="R681" s="12"/>
      <c r="S681" s="12"/>
      <c r="T681" s="12"/>
      <c r="U681" s="12"/>
      <c r="V681" s="12"/>
      <c r="W681" s="12"/>
      <c r="X681" s="12" t="s">
        <v>1562</v>
      </c>
      <c r="Y681" s="12"/>
      <c r="Z681" s="12"/>
      <c r="AA681" s="12"/>
      <c r="AB681" s="12"/>
      <c r="AC681" s="12"/>
      <c r="AD681" s="17"/>
    </row>
    <row r="682" spans="2:30" s="3" customFormat="1" ht="27" x14ac:dyDescent="0.25">
      <c r="B682" s="10" t="s">
        <v>1190</v>
      </c>
      <c r="C682" s="25" t="s">
        <v>1191</v>
      </c>
      <c r="D682" s="16"/>
      <c r="E682" s="12" t="str">
        <f>VLOOKUP(B682,'[1]ART 2 A)'!A:E,5,FALSE)</f>
        <v>Ex.</v>
      </c>
      <c r="F682" s="12"/>
      <c r="G682" s="12"/>
      <c r="H682" s="12"/>
      <c r="I682" s="12"/>
      <c r="J682" s="12"/>
      <c r="K682" s="12" t="str">
        <f>VLOOKUP(B682,'[1]ART 7'!A:E,5,FALSE)</f>
        <v xml:space="preserve">Ex. </v>
      </c>
      <c r="L682" s="12"/>
      <c r="M682" s="12"/>
      <c r="N682" s="12"/>
      <c r="O682" s="12"/>
      <c r="P682" s="12"/>
      <c r="Q682" s="12"/>
      <c r="R682" s="12"/>
      <c r="S682" s="12"/>
      <c r="T682" s="12"/>
      <c r="U682" s="12"/>
      <c r="V682" s="12"/>
      <c r="W682" s="12"/>
      <c r="X682" s="12" t="s">
        <v>1562</v>
      </c>
      <c r="Y682" s="12"/>
      <c r="Z682" s="12"/>
      <c r="AA682" s="12"/>
      <c r="AB682" s="12"/>
      <c r="AC682" s="12"/>
      <c r="AD682" s="17"/>
    </row>
    <row r="683" spans="2:30" s="3" customFormat="1" ht="27" x14ac:dyDescent="0.25">
      <c r="B683" s="10" t="s">
        <v>1192</v>
      </c>
      <c r="C683" s="25" t="s">
        <v>1193</v>
      </c>
      <c r="D683" s="16"/>
      <c r="E683" s="12" t="str">
        <f>VLOOKUP(B683,'[1]ART 2 A)'!A:E,5,FALSE)</f>
        <v>Ex.</v>
      </c>
      <c r="F683" s="12"/>
      <c r="G683" s="12"/>
      <c r="H683" s="12"/>
      <c r="I683" s="12"/>
      <c r="J683" s="12"/>
      <c r="K683" s="12"/>
      <c r="L683" s="12"/>
      <c r="M683" s="12"/>
      <c r="N683" s="12"/>
      <c r="O683" s="12"/>
      <c r="P683" s="12"/>
      <c r="Q683" s="12"/>
      <c r="R683" s="12"/>
      <c r="S683" s="12"/>
      <c r="T683" s="12"/>
      <c r="U683" s="12"/>
      <c r="V683" s="12"/>
      <c r="W683" s="12"/>
      <c r="X683" s="12" t="s">
        <v>1562</v>
      </c>
      <c r="Y683" s="12"/>
      <c r="Z683" s="12"/>
      <c r="AA683" s="12"/>
      <c r="AB683" s="12"/>
      <c r="AC683" s="12"/>
      <c r="AD683" s="17"/>
    </row>
    <row r="684" spans="2:30" s="3" customFormat="1" ht="27" x14ac:dyDescent="0.25">
      <c r="B684" s="10" t="s">
        <v>1194</v>
      </c>
      <c r="C684" s="25" t="s">
        <v>1191</v>
      </c>
      <c r="D684" s="16"/>
      <c r="E684" s="12" t="str">
        <f>VLOOKUP(B684,'[1]ART 2 A)'!A:E,5,FALSE)</f>
        <v>Ex.</v>
      </c>
      <c r="F684" s="12"/>
      <c r="G684" s="12"/>
      <c r="H684" s="12"/>
      <c r="I684" s="12"/>
      <c r="J684" s="12"/>
      <c r="K684" s="12"/>
      <c r="L684" s="12"/>
      <c r="M684" s="12"/>
      <c r="N684" s="12"/>
      <c r="O684" s="12"/>
      <c r="P684" s="12"/>
      <c r="Q684" s="12"/>
      <c r="R684" s="12"/>
      <c r="S684" s="12"/>
      <c r="T684" s="12"/>
      <c r="U684" s="12"/>
      <c r="V684" s="12"/>
      <c r="W684" s="12"/>
      <c r="X684" s="12" t="s">
        <v>1562</v>
      </c>
      <c r="Y684" s="12"/>
      <c r="Z684" s="12"/>
      <c r="AA684" s="12"/>
      <c r="AB684" s="12"/>
      <c r="AC684" s="12"/>
      <c r="AD684" s="17"/>
    </row>
    <row r="685" spans="2:30" s="3" customFormat="1" ht="27" x14ac:dyDescent="0.25">
      <c r="B685" s="10" t="s">
        <v>1195</v>
      </c>
      <c r="C685" s="25" t="s">
        <v>1191</v>
      </c>
      <c r="D685" s="16" t="str">
        <f>VLOOKUP(B685,'[1]ART 1'!A:E,5,FALSE)</f>
        <v>Ex.</v>
      </c>
      <c r="E685" s="12" t="str">
        <f>VLOOKUP(B685,'[1]ART 2 A)'!A:E,5,FALSE)</f>
        <v>Ex.</v>
      </c>
      <c r="F685" s="12"/>
      <c r="G685" s="12"/>
      <c r="H685" s="12"/>
      <c r="I685" s="12"/>
      <c r="J685" s="12"/>
      <c r="K685" s="12"/>
      <c r="L685" s="12"/>
      <c r="M685" s="12"/>
      <c r="N685" s="12"/>
      <c r="O685" s="12"/>
      <c r="P685" s="12"/>
      <c r="Q685" s="12"/>
      <c r="R685" s="12"/>
      <c r="S685" s="12"/>
      <c r="T685" s="12"/>
      <c r="U685" s="12"/>
      <c r="V685" s="12"/>
      <c r="W685" s="12"/>
      <c r="X685" s="12" t="s">
        <v>1562</v>
      </c>
      <c r="Y685" s="12"/>
      <c r="Z685" s="12"/>
      <c r="AA685" s="12"/>
      <c r="AB685" s="12"/>
      <c r="AC685" s="12"/>
      <c r="AD685" s="17"/>
    </row>
    <row r="686" spans="2:30" s="3" customFormat="1" ht="13.5" x14ac:dyDescent="0.25">
      <c r="B686" s="10" t="s">
        <v>1196</v>
      </c>
      <c r="C686" s="25" t="s">
        <v>1197</v>
      </c>
      <c r="D686" s="16"/>
      <c r="E686" s="12" t="str">
        <f>VLOOKUP(B686,'[1]ART 2 A)'!A:E,5,FALSE)</f>
        <v>Ex.</v>
      </c>
      <c r="F686" s="12"/>
      <c r="G686" s="12"/>
      <c r="H686" s="12"/>
      <c r="I686" s="12"/>
      <c r="J686" s="12"/>
      <c r="K686" s="12"/>
      <c r="L686" s="12"/>
      <c r="M686" s="12"/>
      <c r="N686" s="12"/>
      <c r="O686" s="12"/>
      <c r="P686" s="12"/>
      <c r="Q686" s="12"/>
      <c r="R686" s="12"/>
      <c r="S686" s="12"/>
      <c r="T686" s="12"/>
      <c r="U686" s="12"/>
      <c r="V686" s="12"/>
      <c r="W686" s="12"/>
      <c r="X686" s="12" t="s">
        <v>1562</v>
      </c>
      <c r="Y686" s="12"/>
      <c r="Z686" s="12"/>
      <c r="AA686" s="12"/>
      <c r="AB686" s="12"/>
      <c r="AC686" s="12"/>
      <c r="AD686" s="17"/>
    </row>
    <row r="687" spans="2:30" s="3" customFormat="1" ht="40.5" x14ac:dyDescent="0.25">
      <c r="B687" s="10" t="s">
        <v>1198</v>
      </c>
      <c r="C687" s="25" t="s">
        <v>1199</v>
      </c>
      <c r="D687" s="16"/>
      <c r="E687" s="12" t="str">
        <f>VLOOKUP(B687,'[1]ART 2 A)'!A:E,5,FALSE)</f>
        <v>Ex.</v>
      </c>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7"/>
    </row>
    <row r="688" spans="2:30" s="3" customFormat="1" ht="27" x14ac:dyDescent="0.25">
      <c r="B688" s="10" t="s">
        <v>1200</v>
      </c>
      <c r="C688" s="25" t="s">
        <v>1201</v>
      </c>
      <c r="D688" s="16" t="str">
        <f>VLOOKUP(B688,'[1]ART 1'!A:E,5,FALSE)</f>
        <v>Ex.</v>
      </c>
      <c r="E688" s="12" t="str">
        <f>VLOOKUP(B688,'[1]ART 2 A)'!A:E,5,FALSE)</f>
        <v>Ex.</v>
      </c>
      <c r="F688" s="12"/>
      <c r="G688" s="12"/>
      <c r="H688" s="12"/>
      <c r="I688" s="12"/>
      <c r="J688" s="12"/>
      <c r="K688" s="12"/>
      <c r="L688" s="12"/>
      <c r="M688" s="12"/>
      <c r="N688" s="12"/>
      <c r="O688" s="12"/>
      <c r="P688" s="12"/>
      <c r="Q688" s="12"/>
      <c r="R688" s="12"/>
      <c r="S688" s="12" t="s">
        <v>1562</v>
      </c>
      <c r="T688" s="12"/>
      <c r="U688" s="12"/>
      <c r="V688" s="12"/>
      <c r="W688" s="12"/>
      <c r="X688" s="12" t="s">
        <v>1562</v>
      </c>
      <c r="Y688" s="12"/>
      <c r="Z688" s="12"/>
      <c r="AA688" s="12"/>
      <c r="AB688" s="12"/>
      <c r="AC688" s="12"/>
      <c r="AD688" s="17"/>
    </row>
    <row r="689" spans="2:30" s="3" customFormat="1" ht="94.5" x14ac:dyDescent="0.25">
      <c r="B689" s="10" t="s">
        <v>1202</v>
      </c>
      <c r="C689" s="25" t="s">
        <v>1203</v>
      </c>
      <c r="D689" s="16" t="str">
        <f>VLOOKUP(B689,'[1]ART 1'!A:E,5,FALSE)</f>
        <v>Ex.</v>
      </c>
      <c r="E689" s="12" t="str">
        <f>VLOOKUP(B689,'[1]ART 2 A)'!A:E,5,FALSE)</f>
        <v>Ex.</v>
      </c>
      <c r="F689" s="12"/>
      <c r="G689" s="12" t="str">
        <f>VLOOKUP(B689,'[1]ART 3'!A:E,5,FALSE)</f>
        <v xml:space="preserve">Ex. </v>
      </c>
      <c r="H689" s="12" t="str">
        <f>VLOOKUP(B689,'[1]ART IV'!A:E,5,FALSE)</f>
        <v xml:space="preserve">Ex. </v>
      </c>
      <c r="I689" s="12"/>
      <c r="J689" s="12"/>
      <c r="K689" s="12"/>
      <c r="L689" s="12"/>
      <c r="M689" s="12"/>
      <c r="N689" s="12"/>
      <c r="O689" s="12" t="s">
        <v>1570</v>
      </c>
      <c r="P689" s="12"/>
      <c r="Q689" s="12"/>
      <c r="R689" s="12"/>
      <c r="S689" s="12"/>
      <c r="T689" s="12"/>
      <c r="U689" s="12"/>
      <c r="V689" s="12"/>
      <c r="W689" s="12"/>
      <c r="X689" s="12" t="s">
        <v>1562</v>
      </c>
      <c r="Y689" s="12"/>
      <c r="Z689" s="12"/>
      <c r="AA689" s="12"/>
      <c r="AB689" s="12"/>
      <c r="AC689" s="12"/>
      <c r="AD689" s="17"/>
    </row>
    <row r="690" spans="2:30" s="3" customFormat="1" ht="13.5" x14ac:dyDescent="0.25">
      <c r="B690" s="10" t="s">
        <v>1204</v>
      </c>
      <c r="C690" s="25" t="s">
        <v>53</v>
      </c>
      <c r="D690" s="16" t="str">
        <f>VLOOKUP(B690,'[1]ART 1'!A:E,5,FALSE)</f>
        <v>Ex.</v>
      </c>
      <c r="E690" s="12" t="str">
        <f>VLOOKUP(B690,'[1]ART 2 A)'!A:E,5,FALSE)</f>
        <v>Ex.</v>
      </c>
      <c r="F690" s="12"/>
      <c r="G690" s="12" t="str">
        <f>VLOOKUP(B690,'[1]ART 3'!A:E,5,FALSE)</f>
        <v xml:space="preserve">Ex. </v>
      </c>
      <c r="H690" s="12" t="str">
        <f>VLOOKUP(B690,'[1]ART IV'!A:E,5,FALSE)</f>
        <v xml:space="preserve">Ex. </v>
      </c>
      <c r="I690" s="12"/>
      <c r="J690" s="12"/>
      <c r="K690" s="12" t="str">
        <f>VLOOKUP(B690,'[1]ART 7'!A:E,5,FALSE)</f>
        <v xml:space="preserve">5 </v>
      </c>
      <c r="L690" s="12" t="str">
        <f>VLOOKUP(B690,'[1]ART 8'!A:E,5,FALSE)</f>
        <v xml:space="preserve">Ex. </v>
      </c>
      <c r="M690" s="12" t="str">
        <f>VLOOKUP(B690,'[1]ART 9'!A:E,5,FALSE)</f>
        <v xml:space="preserve">Ex. </v>
      </c>
      <c r="N690" s="12"/>
      <c r="O690" s="12" t="s">
        <v>1570</v>
      </c>
      <c r="P690" s="12" t="s">
        <v>1570</v>
      </c>
      <c r="Q690" s="12" t="s">
        <v>1570</v>
      </c>
      <c r="R690" s="12"/>
      <c r="S690" s="12" t="s">
        <v>1562</v>
      </c>
      <c r="T690" s="12"/>
      <c r="U690" s="12"/>
      <c r="V690" s="12"/>
      <c r="W690" s="12"/>
      <c r="X690" s="12" t="s">
        <v>1562</v>
      </c>
      <c r="Y690" s="12" t="s">
        <v>1562</v>
      </c>
      <c r="Z690" s="12"/>
      <c r="AA690" s="12"/>
      <c r="AB690" s="12"/>
      <c r="AC690" s="12"/>
      <c r="AD690" s="17" t="s">
        <v>1562</v>
      </c>
    </row>
    <row r="691" spans="2:30" s="3" customFormat="1" ht="40.5" x14ac:dyDescent="0.25">
      <c r="B691" s="10" t="s">
        <v>1205</v>
      </c>
      <c r="C691" s="25" t="s">
        <v>1206</v>
      </c>
      <c r="D691" s="16" t="str">
        <f>VLOOKUP(B691,'[1]ART 1'!A:E,5,FALSE)</f>
        <v>Ex.</v>
      </c>
      <c r="E691" s="12" t="str">
        <f>VLOOKUP(B691,'[1]ART 2 A)'!A:E,5,FALSE)</f>
        <v>Ex.</v>
      </c>
      <c r="F691" s="12"/>
      <c r="G691" s="12"/>
      <c r="H691" s="12"/>
      <c r="I691" s="12"/>
      <c r="J691" s="12"/>
      <c r="K691" s="12" t="str">
        <f>VLOOKUP(B691,'[1]ART 7'!A:E,5,FALSE)</f>
        <v xml:space="preserve">Ex. </v>
      </c>
      <c r="L691" s="12" t="str">
        <f>VLOOKUP(B691,'[1]ART 8'!A:E,5,FALSE)</f>
        <v xml:space="preserve">Ex. </v>
      </c>
      <c r="M691" s="12"/>
      <c r="N691" s="12"/>
      <c r="O691" s="12"/>
      <c r="P691" s="12"/>
      <c r="Q691" s="12"/>
      <c r="R691" s="12"/>
      <c r="S691" s="12" t="s">
        <v>1562</v>
      </c>
      <c r="T691" s="12"/>
      <c r="U691" s="12"/>
      <c r="V691" s="12"/>
      <c r="W691" s="12"/>
      <c r="X691" s="12" t="s">
        <v>1562</v>
      </c>
      <c r="Y691" s="12"/>
      <c r="Z691" s="12"/>
      <c r="AA691" s="12"/>
      <c r="AB691" s="12"/>
      <c r="AC691" s="12"/>
      <c r="AD691" s="17"/>
    </row>
    <row r="692" spans="2:30" s="3" customFormat="1" ht="13.5" x14ac:dyDescent="0.25">
      <c r="B692" s="10" t="s">
        <v>1207</v>
      </c>
      <c r="C692" s="25" t="s">
        <v>53</v>
      </c>
      <c r="D692" s="16" t="str">
        <f>VLOOKUP(B692,'[1]ART 1'!A:E,5,FALSE)</f>
        <v>5</v>
      </c>
      <c r="E692" s="12" t="str">
        <f>VLOOKUP(B692,'[1]ART 2 A)'!A:E,5,FALSE)</f>
        <v>Ex.</v>
      </c>
      <c r="F692" s="12"/>
      <c r="G692" s="12"/>
      <c r="H692" s="12"/>
      <c r="I692" s="12"/>
      <c r="J692" s="12" t="str">
        <f>VLOOKUP(B692,'[1]ART 6'!A:E,5,FALSE)</f>
        <v xml:space="preserve">5 </v>
      </c>
      <c r="K692" s="12" t="str">
        <f>VLOOKUP(B692,'[1]ART 7'!A:E,5,FALSE)</f>
        <v xml:space="preserve">5 </v>
      </c>
      <c r="L692" s="12"/>
      <c r="M692" s="12"/>
      <c r="N692" s="12"/>
      <c r="O692" s="12"/>
      <c r="P692" s="12"/>
      <c r="Q692" s="12"/>
      <c r="R692" s="12"/>
      <c r="S692" s="12"/>
      <c r="T692" s="12" t="s">
        <v>1562</v>
      </c>
      <c r="U692" s="12"/>
      <c r="V692" s="12"/>
      <c r="W692" s="12"/>
      <c r="X692" s="12" t="s">
        <v>1562</v>
      </c>
      <c r="Y692" s="12"/>
      <c r="Z692" s="12"/>
      <c r="AA692" s="12"/>
      <c r="AB692" s="12"/>
      <c r="AC692" s="12"/>
      <c r="AD692" s="17"/>
    </row>
    <row r="693" spans="2:30" s="3" customFormat="1" ht="148.5" x14ac:dyDescent="0.25">
      <c r="B693" s="10" t="s">
        <v>1208</v>
      </c>
      <c r="C693" s="25" t="s">
        <v>1209</v>
      </c>
      <c r="D693" s="16"/>
      <c r="E693" s="12" t="str">
        <f>VLOOKUP(B693,'[1]ART 2 A)'!A:E,5,FALSE)</f>
        <v>Ex.</v>
      </c>
      <c r="F693" s="12"/>
      <c r="G693" s="12" t="str">
        <f>VLOOKUP(B693,'[1]ART 3'!A:E,5,FALSE)</f>
        <v xml:space="preserve">Ex. </v>
      </c>
      <c r="H693" s="12" t="str">
        <f>VLOOKUP(B693,'[1]ART IV'!A:E,5,FALSE)</f>
        <v xml:space="preserve">Ex. Únicamente: Del tipo utilizado como fuente de energía para la propulsión de vehículos eléctricos. </v>
      </c>
      <c r="I693" s="12"/>
      <c r="J693" s="12"/>
      <c r="K693" s="12"/>
      <c r="L693" s="12"/>
      <c r="M693" s="12"/>
      <c r="N693" s="12"/>
      <c r="O693" s="12"/>
      <c r="P693" s="12"/>
      <c r="Q693" s="12"/>
      <c r="R693" s="12"/>
      <c r="S693" s="12" t="s">
        <v>1710</v>
      </c>
      <c r="T693" s="12"/>
      <c r="U693" s="12"/>
      <c r="V693" s="12"/>
      <c r="W693" s="12"/>
      <c r="X693" s="12" t="s">
        <v>1562</v>
      </c>
      <c r="Y693" s="12"/>
      <c r="Z693" s="12"/>
      <c r="AA693" s="12"/>
      <c r="AB693" s="12"/>
      <c r="AC693" s="12"/>
      <c r="AD693" s="17"/>
    </row>
    <row r="694" spans="2:30" s="3" customFormat="1" ht="54" x14ac:dyDescent="0.25">
      <c r="B694" s="10" t="s">
        <v>1210</v>
      </c>
      <c r="C694" s="25" t="s">
        <v>1211</v>
      </c>
      <c r="D694" s="16"/>
      <c r="E694" s="12" t="str">
        <f>VLOOKUP(B694,'[1]ART 2 A)'!A:E,5,FALSE)</f>
        <v>Ex.</v>
      </c>
      <c r="F694" s="12"/>
      <c r="G694" s="12"/>
      <c r="H694" s="12"/>
      <c r="I694" s="12"/>
      <c r="J694" s="12"/>
      <c r="K694" s="12"/>
      <c r="L694" s="12"/>
      <c r="M694" s="12"/>
      <c r="N694" s="12"/>
      <c r="O694" s="12"/>
      <c r="P694" s="12"/>
      <c r="Q694" s="12"/>
      <c r="R694" s="12"/>
      <c r="S694" s="12"/>
      <c r="T694" s="12"/>
      <c r="U694" s="12"/>
      <c r="V694" s="12"/>
      <c r="W694" s="12"/>
      <c r="X694" s="12" t="s">
        <v>1562</v>
      </c>
      <c r="Y694" s="12"/>
      <c r="Z694" s="12"/>
      <c r="AA694" s="12"/>
      <c r="AB694" s="12"/>
      <c r="AC694" s="12"/>
      <c r="AD694" s="17"/>
    </row>
    <row r="695" spans="2:30" s="3" customFormat="1" ht="54" x14ac:dyDescent="0.25">
      <c r="B695" s="10" t="s">
        <v>1212</v>
      </c>
      <c r="C695" s="25" t="s">
        <v>1213</v>
      </c>
      <c r="D695" s="16"/>
      <c r="E695" s="12" t="str">
        <f>VLOOKUP(B695,'[1]ART 2 A)'!A:E,5,FALSE)</f>
        <v>Ex.</v>
      </c>
      <c r="F695" s="12"/>
      <c r="G695" s="12"/>
      <c r="H695" s="12"/>
      <c r="I695" s="12"/>
      <c r="J695" s="12"/>
      <c r="K695" s="12"/>
      <c r="L695" s="12"/>
      <c r="M695" s="12"/>
      <c r="N695" s="12"/>
      <c r="O695" s="12"/>
      <c r="P695" s="12"/>
      <c r="Q695" s="12"/>
      <c r="R695" s="12"/>
      <c r="S695" s="12"/>
      <c r="T695" s="12"/>
      <c r="U695" s="12"/>
      <c r="V695" s="12"/>
      <c r="W695" s="12"/>
      <c r="X695" s="12" t="s">
        <v>1711</v>
      </c>
      <c r="Y695" s="12"/>
      <c r="Z695" s="12"/>
      <c r="AA695" s="12"/>
      <c r="AB695" s="12"/>
      <c r="AC695" s="12"/>
      <c r="AD695" s="17"/>
    </row>
    <row r="696" spans="2:30" s="3" customFormat="1" ht="13.5" x14ac:dyDescent="0.25">
      <c r="B696" s="10" t="s">
        <v>1214</v>
      </c>
      <c r="C696" s="25" t="s">
        <v>1215</v>
      </c>
      <c r="D696" s="16"/>
      <c r="E696" s="12" t="str">
        <f>VLOOKUP(B696,'[1]ART 2 A)'!A:E,5,FALSE)</f>
        <v>Ex.</v>
      </c>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7"/>
    </row>
    <row r="697" spans="2:30" s="3" customFormat="1" ht="54" x14ac:dyDescent="0.25">
      <c r="B697" s="10" t="s">
        <v>1216</v>
      </c>
      <c r="C697" s="25" t="s">
        <v>1217</v>
      </c>
      <c r="D697" s="16" t="str">
        <f>VLOOKUP(B697,'[1]ART 1'!A:E,5,FALSE)</f>
        <v>Ex.</v>
      </c>
      <c r="E697" s="12" t="str">
        <f>VLOOKUP(B697,'[1]ART 2 A)'!A:E,5,FALSE)</f>
        <v>Ex.</v>
      </c>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7"/>
    </row>
    <row r="698" spans="2:30" s="3" customFormat="1" ht="13.5" x14ac:dyDescent="0.25">
      <c r="B698" s="10" t="s">
        <v>1218</v>
      </c>
      <c r="C698" s="25" t="s">
        <v>1219</v>
      </c>
      <c r="D698" s="16" t="str">
        <f>VLOOKUP(B698,'[1]ART 1'!A:E,5,FALSE)</f>
        <v>5</v>
      </c>
      <c r="E698" s="12" t="str">
        <f>VLOOKUP(B698,'[1]ART 2 A)'!A:E,5,FALSE)</f>
        <v>Ex.</v>
      </c>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7"/>
    </row>
    <row r="699" spans="2:30" s="3" customFormat="1" ht="13.5" x14ac:dyDescent="0.25">
      <c r="B699" s="10" t="s">
        <v>1220</v>
      </c>
      <c r="C699" s="25" t="s">
        <v>157</v>
      </c>
      <c r="D699" s="16" t="str">
        <f>VLOOKUP(B699,'[1]ART 1'!A:E,5,FALSE)</f>
        <v>5</v>
      </c>
      <c r="E699" s="12" t="str">
        <f>VLOOKUP(B699,'[1]ART 2 A)'!A:E,5,FALSE)</f>
        <v>Ex.</v>
      </c>
      <c r="F699" s="12"/>
      <c r="G699" s="12" t="str">
        <f>VLOOKUP(B699,'[1]ART 3'!A:E,5,FALSE)</f>
        <v xml:space="preserve">Ex. </v>
      </c>
      <c r="H699" s="12"/>
      <c r="I699" s="12"/>
      <c r="J699" s="12"/>
      <c r="K699" s="12"/>
      <c r="L699" s="12"/>
      <c r="M699" s="12"/>
      <c r="N699" s="12"/>
      <c r="O699" s="12"/>
      <c r="P699" s="12"/>
      <c r="Q699" s="12"/>
      <c r="R699" s="12"/>
      <c r="S699" s="12"/>
      <c r="T699" s="12"/>
      <c r="U699" s="12"/>
      <c r="V699" s="12"/>
      <c r="W699" s="12"/>
      <c r="X699" s="12"/>
      <c r="Y699" s="12"/>
      <c r="Z699" s="12"/>
      <c r="AA699" s="12"/>
      <c r="AB699" s="12"/>
      <c r="AC699" s="12"/>
      <c r="AD699" s="17"/>
    </row>
    <row r="700" spans="2:30" s="3" customFormat="1" ht="81" x14ac:dyDescent="0.25">
      <c r="B700" s="10" t="s">
        <v>1221</v>
      </c>
      <c r="C700" s="25" t="s">
        <v>1222</v>
      </c>
      <c r="D700" s="16"/>
      <c r="E700" s="12" t="str">
        <f>VLOOKUP(B700,'[1]ART 2 A)'!A:E,5,FALSE)</f>
        <v>Ex.Únicamente: Trituradoras de desperdicios de cocina.</v>
      </c>
      <c r="F700" s="12"/>
      <c r="G700" s="12"/>
      <c r="H700" s="12" t="str">
        <f>VLOOKUP(B700,'[1]ART IV'!A:E,5,FALSE)</f>
        <v xml:space="preserve">Ex. Únicamente: Trituradoras de desperdicios de cocina. </v>
      </c>
      <c r="I700" s="12"/>
      <c r="J700" s="12"/>
      <c r="K700" s="12"/>
      <c r="L700" s="12"/>
      <c r="M700" s="12"/>
      <c r="N700" s="12"/>
      <c r="O700" s="12"/>
      <c r="P700" s="12"/>
      <c r="Q700" s="12"/>
      <c r="R700" s="12"/>
      <c r="S700" s="12"/>
      <c r="T700" s="12"/>
      <c r="U700" s="12"/>
      <c r="V700" s="12"/>
      <c r="W700" s="12"/>
      <c r="X700" s="12"/>
      <c r="Y700" s="12"/>
      <c r="Z700" s="12"/>
      <c r="AA700" s="12"/>
      <c r="AB700" s="12"/>
      <c r="AC700" s="12"/>
      <c r="AD700" s="17"/>
    </row>
    <row r="701" spans="2:30" s="3" customFormat="1" ht="13.5" x14ac:dyDescent="0.25">
      <c r="B701" s="10" t="s">
        <v>1223</v>
      </c>
      <c r="C701" s="25" t="s">
        <v>1224</v>
      </c>
      <c r="D701" s="16" t="str">
        <f>VLOOKUP(B701,'[1]ART 1'!A:E,5,FALSE)</f>
        <v>Ex.</v>
      </c>
      <c r="E701" s="12" t="str">
        <f>VLOOKUP(B701,'[1]ART 2 A)'!A:E,5,FALSE)</f>
        <v>Ex.</v>
      </c>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7"/>
    </row>
    <row r="702" spans="2:30" s="3" customFormat="1" ht="13.5" x14ac:dyDescent="0.25">
      <c r="B702" s="10" t="s">
        <v>1225</v>
      </c>
      <c r="C702" s="25" t="s">
        <v>53</v>
      </c>
      <c r="D702" s="16" t="str">
        <f>VLOOKUP(B702,'[1]ART 1'!A:E,5,FALSE)</f>
        <v>Ex.</v>
      </c>
      <c r="E702" s="12" t="str">
        <f>VLOOKUP(B702,'[1]ART 2 A)'!A:E,5,FALSE)</f>
        <v>Ex.</v>
      </c>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7"/>
    </row>
    <row r="703" spans="2:30" s="3" customFormat="1" ht="108" x14ac:dyDescent="0.25">
      <c r="B703" s="10" t="s">
        <v>1226</v>
      </c>
      <c r="C703" s="25" t="s">
        <v>1227</v>
      </c>
      <c r="D703" s="16"/>
      <c r="E703" s="12"/>
      <c r="F703" s="12"/>
      <c r="G703" s="12"/>
      <c r="H703" s="12"/>
      <c r="I703" s="12"/>
      <c r="J703" s="12"/>
      <c r="K703" s="12"/>
      <c r="L703" s="12"/>
      <c r="M703" s="12"/>
      <c r="N703" s="12"/>
      <c r="O703" s="12"/>
      <c r="P703" s="12"/>
      <c r="Q703" s="12"/>
      <c r="R703" s="12"/>
      <c r="S703" s="12"/>
      <c r="T703" s="12"/>
      <c r="U703" s="12"/>
      <c r="V703" s="12"/>
      <c r="W703" s="12"/>
      <c r="X703" s="12" t="s">
        <v>1562</v>
      </c>
      <c r="Y703" s="12"/>
      <c r="Z703" s="12"/>
      <c r="AA703" s="12"/>
      <c r="AB703" s="12"/>
      <c r="AC703" s="12"/>
      <c r="AD703" s="17"/>
    </row>
    <row r="704" spans="2:30" s="3" customFormat="1" ht="13.5" x14ac:dyDescent="0.25">
      <c r="B704" s="10" t="s">
        <v>1228</v>
      </c>
      <c r="C704" s="25" t="s">
        <v>1229</v>
      </c>
      <c r="D704" s="16" t="str">
        <f>VLOOKUP(B704,'[1]ART 1'!A:E,5,FALSE)</f>
        <v>Ex.</v>
      </c>
      <c r="E704" s="12" t="str">
        <f>VLOOKUP(B704,'[1]ART 2 A)'!A:E,5,FALSE)</f>
        <v>Ex.</v>
      </c>
      <c r="F704" s="12"/>
      <c r="G704" s="12"/>
      <c r="H704" s="12"/>
      <c r="I704" s="12"/>
      <c r="J704" s="12" t="str">
        <f>VLOOKUP(B704,'[1]ART 6'!A:E,5,FALSE)</f>
        <v xml:space="preserve">5 </v>
      </c>
      <c r="K704" s="12"/>
      <c r="L704" s="12"/>
      <c r="M704" s="12"/>
      <c r="N704" s="12"/>
      <c r="O704" s="12"/>
      <c r="P704" s="12"/>
      <c r="Q704" s="12"/>
      <c r="R704" s="12"/>
      <c r="S704" s="12" t="s">
        <v>1570</v>
      </c>
      <c r="T704" s="12"/>
      <c r="U704" s="12"/>
      <c r="V704" s="12"/>
      <c r="W704" s="12"/>
      <c r="X704" s="12" t="s">
        <v>1562</v>
      </c>
      <c r="Y704" s="12"/>
      <c r="Z704" s="12"/>
      <c r="AA704" s="12"/>
      <c r="AB704" s="12"/>
      <c r="AC704" s="12"/>
      <c r="AD704" s="17"/>
    </row>
    <row r="705" spans="2:30" s="3" customFormat="1" ht="13.5" x14ac:dyDescent="0.25">
      <c r="B705" s="10" t="s">
        <v>1230</v>
      </c>
      <c r="C705" s="25" t="s">
        <v>53</v>
      </c>
      <c r="D705" s="16" t="str">
        <f>VLOOKUP(B705,'[1]ART 1'!A:E,5,FALSE)</f>
        <v>5</v>
      </c>
      <c r="E705" s="12" t="str">
        <f>VLOOKUP(B705,'[1]ART 2 A)'!A:E,5,FALSE)</f>
        <v>Ex.</v>
      </c>
      <c r="F705" s="12"/>
      <c r="G705" s="12"/>
      <c r="H705" s="12"/>
      <c r="I705" s="12"/>
      <c r="J705" s="12" t="str">
        <f>VLOOKUP(B705,'[1]ART 6'!A:E,5,FALSE)</f>
        <v xml:space="preserve">5 </v>
      </c>
      <c r="K705" s="12"/>
      <c r="L705" s="12"/>
      <c r="M705" s="12"/>
      <c r="N705" s="12"/>
      <c r="O705" s="12"/>
      <c r="P705" s="12"/>
      <c r="Q705" s="12"/>
      <c r="R705" s="12"/>
      <c r="S705" s="12"/>
      <c r="T705" s="12"/>
      <c r="U705" s="12"/>
      <c r="V705" s="12"/>
      <c r="W705" s="12"/>
      <c r="X705" s="12" t="s">
        <v>1562</v>
      </c>
      <c r="Y705" s="12"/>
      <c r="Z705" s="12"/>
      <c r="AA705" s="12"/>
      <c r="AB705" s="12"/>
      <c r="AC705" s="12"/>
      <c r="AD705" s="17"/>
    </row>
    <row r="706" spans="2:30" s="3" customFormat="1" ht="13.5" x14ac:dyDescent="0.25">
      <c r="B706" s="10" t="s">
        <v>1231</v>
      </c>
      <c r="C706" s="25" t="s">
        <v>53</v>
      </c>
      <c r="D706" s="16"/>
      <c r="E706" s="12"/>
      <c r="F706" s="12"/>
      <c r="G706" s="12"/>
      <c r="H706" s="12"/>
      <c r="I706" s="12"/>
      <c r="J706" s="12"/>
      <c r="K706" s="12"/>
      <c r="L706" s="12"/>
      <c r="M706" s="12" t="str">
        <f>VLOOKUP(B706,'[1]ART 9'!A:E,5,FALSE)</f>
        <v xml:space="preserve">Ex. </v>
      </c>
      <c r="N706" s="12" t="s">
        <v>1562</v>
      </c>
      <c r="O706" s="12"/>
      <c r="P706" s="12"/>
      <c r="Q706" s="12"/>
      <c r="R706" s="12"/>
      <c r="S706" s="12" t="s">
        <v>1562</v>
      </c>
      <c r="T706" s="12"/>
      <c r="U706" s="12"/>
      <c r="V706" s="12"/>
      <c r="W706" s="12"/>
      <c r="X706" s="12" t="s">
        <v>1562</v>
      </c>
      <c r="Y706" s="12"/>
      <c r="Z706" s="12"/>
      <c r="AA706" s="12"/>
      <c r="AB706" s="12"/>
      <c r="AC706" s="12"/>
      <c r="AD706" s="17"/>
    </row>
    <row r="707" spans="2:30" s="3" customFormat="1" ht="13.5" x14ac:dyDescent="0.25">
      <c r="B707" s="10" t="s">
        <v>1232</v>
      </c>
      <c r="C707" s="25" t="s">
        <v>157</v>
      </c>
      <c r="D707" s="16" t="str">
        <f>VLOOKUP(B707,'[1]ART 1'!A:E,5,FALSE)</f>
        <v>5</v>
      </c>
      <c r="E707" s="12" t="str">
        <f>VLOOKUP(B707,'[1]ART 2 A)'!A:E,5,FALSE)</f>
        <v>Ex.</v>
      </c>
      <c r="F707" s="12"/>
      <c r="G707" s="12"/>
      <c r="H707" s="12"/>
      <c r="I707" s="12"/>
      <c r="J707" s="12"/>
      <c r="K707" s="12"/>
      <c r="L707" s="12"/>
      <c r="M707" s="12"/>
      <c r="N707" s="12"/>
      <c r="O707" s="12"/>
      <c r="P707" s="12"/>
      <c r="Q707" s="12"/>
      <c r="R707" s="12"/>
      <c r="S707" s="12"/>
      <c r="T707" s="12"/>
      <c r="U707" s="12"/>
      <c r="V707" s="12"/>
      <c r="W707" s="12"/>
      <c r="X707" s="12" t="s">
        <v>1562</v>
      </c>
      <c r="Y707" s="12"/>
      <c r="Z707" s="12"/>
      <c r="AA707" s="12"/>
      <c r="AB707" s="12"/>
      <c r="AC707" s="12"/>
      <c r="AD707" s="17"/>
    </row>
    <row r="708" spans="2:30" s="3" customFormat="1" ht="13.5" x14ac:dyDescent="0.25">
      <c r="B708" s="10" t="s">
        <v>1233</v>
      </c>
      <c r="C708" s="25" t="s">
        <v>1234</v>
      </c>
      <c r="D708" s="16" t="str">
        <f>VLOOKUP(B708,'[1]ART 1'!A:E,5,FALSE)</f>
        <v>Ex.</v>
      </c>
      <c r="E708" s="12" t="str">
        <f>VLOOKUP(B708,'[1]ART 2 A)'!A:E,5,FALSE)</f>
        <v>Ex.</v>
      </c>
      <c r="F708" s="12"/>
      <c r="G708" s="12"/>
      <c r="H708" s="12"/>
      <c r="I708" s="12"/>
      <c r="J708" s="12"/>
      <c r="K708" s="12"/>
      <c r="L708" s="12"/>
      <c r="M708" s="12"/>
      <c r="N708" s="12"/>
      <c r="O708" s="12"/>
      <c r="P708" s="12"/>
      <c r="Q708" s="12"/>
      <c r="R708" s="12"/>
      <c r="S708" s="12" t="s">
        <v>1562</v>
      </c>
      <c r="T708" s="12"/>
      <c r="U708" s="12"/>
      <c r="V708" s="12"/>
      <c r="W708" s="12"/>
      <c r="X708" s="12" t="s">
        <v>1562</v>
      </c>
      <c r="Y708" s="12"/>
      <c r="Z708" s="12"/>
      <c r="AA708" s="12"/>
      <c r="AB708" s="12"/>
      <c r="AC708" s="12"/>
      <c r="AD708" s="17"/>
    </row>
    <row r="709" spans="2:30" s="3" customFormat="1" ht="27" x14ac:dyDescent="0.25">
      <c r="B709" s="10" t="s">
        <v>1235</v>
      </c>
      <c r="C709" s="25" t="s">
        <v>1236</v>
      </c>
      <c r="D709" s="16"/>
      <c r="E709" s="12"/>
      <c r="F709" s="12"/>
      <c r="G709" s="12"/>
      <c r="H709" s="12"/>
      <c r="I709" s="12"/>
      <c r="J709" s="12"/>
      <c r="K709" s="12"/>
      <c r="L709" s="12"/>
      <c r="M709" s="12"/>
      <c r="N709" s="12"/>
      <c r="O709" s="12"/>
      <c r="P709" s="12"/>
      <c r="Q709" s="12"/>
      <c r="R709" s="12"/>
      <c r="S709" s="12"/>
      <c r="T709" s="12"/>
      <c r="U709" s="12"/>
      <c r="V709" s="12"/>
      <c r="W709" s="12"/>
      <c r="X709" s="12" t="s">
        <v>1562</v>
      </c>
      <c r="Y709" s="12"/>
      <c r="Z709" s="12"/>
      <c r="AA709" s="12"/>
      <c r="AB709" s="12"/>
      <c r="AC709" s="12"/>
      <c r="AD709" s="17"/>
    </row>
    <row r="710" spans="2:30" s="3" customFormat="1" ht="54" x14ac:dyDescent="0.25">
      <c r="B710" s="10" t="s">
        <v>1237</v>
      </c>
      <c r="C710" s="25" t="s">
        <v>1238</v>
      </c>
      <c r="D710" s="16" t="str">
        <f>VLOOKUP(B710,'[1]ART 1'!A:E,5,FALSE)</f>
        <v>Ex.</v>
      </c>
      <c r="E710" s="12" t="str">
        <f>VLOOKUP(B710,'[1]ART 2 A)'!A:E,5,FALSE)</f>
        <v>Ex.</v>
      </c>
      <c r="F710" s="12"/>
      <c r="G710" s="12" t="str">
        <f>VLOOKUP(B710,'[1]ART 3'!A:E,5,FALSE)</f>
        <v xml:space="preserve">Ex. </v>
      </c>
      <c r="H710" s="12" t="str">
        <f>VLOOKUP(B710,'[1]ART IV'!A:E,5,FALSE)</f>
        <v xml:space="preserve">Ex. </v>
      </c>
      <c r="I710" s="12"/>
      <c r="J710" s="12"/>
      <c r="K710" s="12" t="str">
        <f>VLOOKUP(B710,'[1]ART 7'!A:E,5,FALSE)</f>
        <v xml:space="preserve">5 </v>
      </c>
      <c r="L710" s="12"/>
      <c r="M710" s="12"/>
      <c r="N710" s="12" t="s">
        <v>1570</v>
      </c>
      <c r="O710" s="12" t="s">
        <v>1570</v>
      </c>
      <c r="P710" s="12"/>
      <c r="Q710" s="12"/>
      <c r="R710" s="12"/>
      <c r="S710" s="12"/>
      <c r="T710" s="12"/>
      <c r="U710" s="12"/>
      <c r="V710" s="12"/>
      <c r="W710" s="12"/>
      <c r="X710" s="12" t="s">
        <v>1562</v>
      </c>
      <c r="Y710" s="12"/>
      <c r="Z710" s="12"/>
      <c r="AA710" s="12"/>
      <c r="AB710" s="12"/>
      <c r="AC710" s="12"/>
      <c r="AD710" s="17"/>
    </row>
    <row r="711" spans="2:30" s="3" customFormat="1" ht="13.5" x14ac:dyDescent="0.25">
      <c r="B711" s="10" t="s">
        <v>1239</v>
      </c>
      <c r="C711" s="25" t="s">
        <v>53</v>
      </c>
      <c r="D711" s="16" t="str">
        <f>VLOOKUP(B711,'[1]ART 1'!A:E,5,FALSE)</f>
        <v>Ex.</v>
      </c>
      <c r="E711" s="12" t="str">
        <f>VLOOKUP(B711,'[1]ART 2 A)'!A:E,5,FALSE)</f>
        <v>Ex.</v>
      </c>
      <c r="F711" s="12"/>
      <c r="G711" s="12"/>
      <c r="H711" s="12"/>
      <c r="I711" s="12"/>
      <c r="J711" s="12"/>
      <c r="K711" s="12"/>
      <c r="L711" s="12"/>
      <c r="M711" s="12"/>
      <c r="N711" s="12"/>
      <c r="O711" s="12"/>
      <c r="P711" s="12"/>
      <c r="Q711" s="12"/>
      <c r="R711" s="12"/>
      <c r="S711" s="12" t="s">
        <v>1562</v>
      </c>
      <c r="T711" s="12"/>
      <c r="U711" s="12"/>
      <c r="V711" s="12"/>
      <c r="W711" s="12"/>
      <c r="X711" s="12" t="s">
        <v>1562</v>
      </c>
      <c r="Y711" s="12"/>
      <c r="Z711" s="12"/>
      <c r="AA711" s="12"/>
      <c r="AB711" s="12"/>
      <c r="AC711" s="12"/>
      <c r="AD711" s="17"/>
    </row>
    <row r="712" spans="2:30" s="3" customFormat="1" ht="54" x14ac:dyDescent="0.25">
      <c r="B712" s="10" t="s">
        <v>1240</v>
      </c>
      <c r="C712" s="25" t="s">
        <v>1241</v>
      </c>
      <c r="D712" s="16" t="str">
        <f>VLOOKUP(B712,'[1]ART 1'!A:E,5,FALSE)</f>
        <v>Ex.</v>
      </c>
      <c r="E712" s="12" t="str">
        <f>VLOOKUP(B712,'[1]ART 2 A)'!A:E,5,FALSE)</f>
        <v>Ex.</v>
      </c>
      <c r="F712" s="12"/>
      <c r="G712" s="12" t="str">
        <f>VLOOKUP(B712,'[1]ART 3'!A:E,5,FALSE)</f>
        <v xml:space="preserve">Ex. </v>
      </c>
      <c r="H712" s="12"/>
      <c r="I712" s="12"/>
      <c r="J712" s="12"/>
      <c r="K712" s="12"/>
      <c r="L712" s="12"/>
      <c r="M712" s="12"/>
      <c r="N712" s="12" t="s">
        <v>1570</v>
      </c>
      <c r="O712" s="12" t="s">
        <v>1570</v>
      </c>
      <c r="P712" s="12"/>
      <c r="Q712" s="12"/>
      <c r="R712" s="12"/>
      <c r="S712" s="12"/>
      <c r="T712" s="12"/>
      <c r="U712" s="12"/>
      <c r="V712" s="12"/>
      <c r="W712" s="12"/>
      <c r="X712" s="12" t="s">
        <v>1562</v>
      </c>
      <c r="Y712" s="12"/>
      <c r="Z712" s="12"/>
      <c r="AA712" s="12"/>
      <c r="AB712" s="12"/>
      <c r="AC712" s="12"/>
      <c r="AD712" s="17"/>
    </row>
    <row r="713" spans="2:30" s="3" customFormat="1" ht="13.5" x14ac:dyDescent="0.25">
      <c r="B713" s="10" t="s">
        <v>1242</v>
      </c>
      <c r="C713" s="25" t="s">
        <v>53</v>
      </c>
      <c r="D713" s="16" t="str">
        <f>VLOOKUP(B713,'[1]ART 1'!A:E,5,FALSE)</f>
        <v>Ex.</v>
      </c>
      <c r="E713" s="12" t="str">
        <f>VLOOKUP(B713,'[1]ART 2 A)'!A:E,5,FALSE)</f>
        <v>Ex.</v>
      </c>
      <c r="F713" s="12"/>
      <c r="G713" s="12"/>
      <c r="H713" s="12"/>
      <c r="I713" s="12"/>
      <c r="J713" s="12"/>
      <c r="K713" s="12"/>
      <c r="L713" s="12"/>
      <c r="M713" s="12"/>
      <c r="N713" s="12"/>
      <c r="O713" s="12"/>
      <c r="P713" s="12"/>
      <c r="Q713" s="12" t="s">
        <v>1570</v>
      </c>
      <c r="R713" s="12"/>
      <c r="S713" s="12"/>
      <c r="T713" s="12"/>
      <c r="U713" s="12"/>
      <c r="V713" s="12"/>
      <c r="W713" s="12"/>
      <c r="X713" s="12" t="s">
        <v>1562</v>
      </c>
      <c r="Y713" s="12"/>
      <c r="Z713" s="12"/>
      <c r="AA713" s="12"/>
      <c r="AB713" s="12"/>
      <c r="AC713" s="12"/>
      <c r="AD713" s="17"/>
    </row>
    <row r="714" spans="2:30" s="3" customFormat="1" ht="27" x14ac:dyDescent="0.25">
      <c r="B714" s="10" t="s">
        <v>1243</v>
      </c>
      <c r="C714" s="25" t="s">
        <v>1244</v>
      </c>
      <c r="D714" s="16" t="str">
        <f>VLOOKUP(B714,'[1]ART 1'!A:E,5,FALSE)</f>
        <v>5</v>
      </c>
      <c r="E714" s="12" t="str">
        <f>VLOOKUP(B714,'[1]ART 2 A)'!A:E,5,FALSE)</f>
        <v>Ex.</v>
      </c>
      <c r="F714" s="12"/>
      <c r="G714" s="12" t="str">
        <f>VLOOKUP(B714,'[1]ART 3'!A:E,5,FALSE)</f>
        <v xml:space="preserve">Ex. </v>
      </c>
      <c r="H714" s="12" t="str">
        <f>VLOOKUP(B714,'[1]ART IV'!A:E,5,FALSE)</f>
        <v xml:space="preserve">Ex. </v>
      </c>
      <c r="I714" s="12"/>
      <c r="J714" s="12"/>
      <c r="K714" s="12" t="str">
        <f>VLOOKUP(B714,'[1]ART 7'!A:E,5,FALSE)</f>
        <v xml:space="preserve">5 </v>
      </c>
      <c r="L714" s="12"/>
      <c r="M714" s="12"/>
      <c r="N714" s="12"/>
      <c r="O714" s="12"/>
      <c r="P714" s="12"/>
      <c r="Q714" s="12"/>
      <c r="R714" s="12"/>
      <c r="S714" s="12"/>
      <c r="T714" s="12"/>
      <c r="U714" s="12"/>
      <c r="V714" s="12"/>
      <c r="W714" s="12"/>
      <c r="X714" s="12" t="s">
        <v>1562</v>
      </c>
      <c r="Y714" s="12"/>
      <c r="Z714" s="12"/>
      <c r="AA714" s="12"/>
      <c r="AB714" s="12"/>
      <c r="AC714" s="12"/>
      <c r="AD714" s="17"/>
    </row>
    <row r="715" spans="2:30" s="3" customFormat="1" ht="13.5" x14ac:dyDescent="0.25">
      <c r="B715" s="10" t="s">
        <v>1245</v>
      </c>
      <c r="C715" s="25" t="s">
        <v>53</v>
      </c>
      <c r="D715" s="16" t="str">
        <f>VLOOKUP(B715,'[1]ART 1'!A:E,5,FALSE)</f>
        <v>5</v>
      </c>
      <c r="E715" s="12" t="str">
        <f>VLOOKUP(B715,'[1]ART 2 A)'!A:E,5,FALSE)</f>
        <v>Ex.</v>
      </c>
      <c r="F715" s="12"/>
      <c r="G715" s="12"/>
      <c r="H715" s="12"/>
      <c r="I715" s="12"/>
      <c r="J715" s="12"/>
      <c r="K715" s="12"/>
      <c r="L715" s="12"/>
      <c r="M715" s="12"/>
      <c r="N715" s="12"/>
      <c r="O715" s="12"/>
      <c r="P715" s="12"/>
      <c r="Q715" s="12"/>
      <c r="R715" s="12"/>
      <c r="S715" s="12"/>
      <c r="T715" s="12"/>
      <c r="U715" s="12"/>
      <c r="V715" s="12"/>
      <c r="W715" s="12"/>
      <c r="X715" s="12" t="s">
        <v>1562</v>
      </c>
      <c r="Y715" s="12"/>
      <c r="Z715" s="12"/>
      <c r="AA715" s="12"/>
      <c r="AB715" s="12"/>
      <c r="AC715" s="12"/>
      <c r="AD715" s="17"/>
    </row>
    <row r="716" spans="2:30" s="3" customFormat="1" ht="13.5" x14ac:dyDescent="0.25">
      <c r="B716" s="10" t="s">
        <v>1246</v>
      </c>
      <c r="C716" s="25" t="s">
        <v>53</v>
      </c>
      <c r="D716" s="16"/>
      <c r="E716" s="12" t="str">
        <f>VLOOKUP(B716,'[1]ART 2 A)'!A:E,5,FALSE)</f>
        <v>Ex.</v>
      </c>
      <c r="F716" s="12"/>
      <c r="G716" s="12"/>
      <c r="H716" s="12"/>
      <c r="I716" s="12"/>
      <c r="J716" s="12"/>
      <c r="K716" s="12"/>
      <c r="L716" s="12"/>
      <c r="M716" s="12"/>
      <c r="N716" s="12"/>
      <c r="O716" s="12"/>
      <c r="P716" s="12"/>
      <c r="Q716" s="12"/>
      <c r="R716" s="12"/>
      <c r="S716" s="12"/>
      <c r="T716" s="12"/>
      <c r="U716" s="12"/>
      <c r="V716" s="12"/>
      <c r="W716" s="12"/>
      <c r="X716" s="12" t="s">
        <v>1562</v>
      </c>
      <c r="Y716" s="12"/>
      <c r="Z716" s="12"/>
      <c r="AA716" s="12"/>
      <c r="AB716" s="12"/>
      <c r="AC716" s="12"/>
      <c r="AD716" s="17"/>
    </row>
    <row r="717" spans="2:30" s="3" customFormat="1" ht="13.5" x14ac:dyDescent="0.25">
      <c r="B717" s="10" t="s">
        <v>1247</v>
      </c>
      <c r="C717" s="25" t="s">
        <v>53</v>
      </c>
      <c r="D717" s="16" t="str">
        <f>VLOOKUP(B717,'[1]ART 1'!A:E,5,FALSE)</f>
        <v>5</v>
      </c>
      <c r="E717" s="12" t="str">
        <f>VLOOKUP(B717,'[1]ART 2 A)'!A:E,5,FALSE)</f>
        <v>Ex.</v>
      </c>
      <c r="F717" s="12"/>
      <c r="G717" s="12" t="str">
        <f>VLOOKUP(B717,'[1]ART 3'!A:E,5,FALSE)</f>
        <v xml:space="preserve">Ex. </v>
      </c>
      <c r="H717" s="12"/>
      <c r="I717" s="12"/>
      <c r="J717" s="12"/>
      <c r="K717" s="12"/>
      <c r="L717" s="12"/>
      <c r="M717" s="12"/>
      <c r="N717" s="12"/>
      <c r="O717" s="12"/>
      <c r="P717" s="12"/>
      <c r="Q717" s="12" t="s">
        <v>1570</v>
      </c>
      <c r="R717" s="12"/>
      <c r="S717" s="12" t="s">
        <v>1562</v>
      </c>
      <c r="T717" s="12" t="s">
        <v>1562</v>
      </c>
      <c r="U717" s="12"/>
      <c r="V717" s="12"/>
      <c r="W717" s="12"/>
      <c r="X717" s="12" t="s">
        <v>1562</v>
      </c>
      <c r="Y717" s="12"/>
      <c r="Z717" s="12"/>
      <c r="AA717" s="12"/>
      <c r="AB717" s="12"/>
      <c r="AC717" s="12"/>
      <c r="AD717" s="17"/>
    </row>
    <row r="718" spans="2:30" s="3" customFormat="1" ht="40.5" x14ac:dyDescent="0.25">
      <c r="B718" s="10" t="s">
        <v>1248</v>
      </c>
      <c r="C718" s="25" t="s">
        <v>1249</v>
      </c>
      <c r="D718" s="16" t="str">
        <f>VLOOKUP(B718,'[1]ART 1'!A:E,5,FALSE)</f>
        <v>5</v>
      </c>
      <c r="E718" s="12" t="str">
        <f>VLOOKUP(B718,'[1]ART 2 A)'!A:E,5,FALSE)</f>
        <v>Ex.</v>
      </c>
      <c r="F718" s="12"/>
      <c r="G718" s="12"/>
      <c r="H718" s="12" t="str">
        <f>VLOOKUP(B718,'[1]ART IV'!A:E,5,FALSE)</f>
        <v xml:space="preserve">Ex. </v>
      </c>
      <c r="I718" s="12"/>
      <c r="J718" s="12"/>
      <c r="K718" s="12" t="str">
        <f>VLOOKUP(B718,'[1]ART 7'!A:E,5,FALSE)</f>
        <v xml:space="preserve">5 </v>
      </c>
      <c r="L718" s="12"/>
      <c r="M718" s="12"/>
      <c r="N718" s="12"/>
      <c r="O718" s="12"/>
      <c r="P718" s="12"/>
      <c r="Q718" s="12" t="s">
        <v>1570</v>
      </c>
      <c r="R718" s="12"/>
      <c r="S718" s="12" t="s">
        <v>1562</v>
      </c>
      <c r="T718" s="12"/>
      <c r="U718" s="12"/>
      <c r="V718" s="12"/>
      <c r="W718" s="12"/>
      <c r="X718" s="12" t="s">
        <v>1562</v>
      </c>
      <c r="Y718" s="12"/>
      <c r="Z718" s="12"/>
      <c r="AA718" s="12"/>
      <c r="AB718" s="12"/>
      <c r="AC718" s="12"/>
      <c r="AD718" s="17"/>
    </row>
    <row r="719" spans="2:30" s="3" customFormat="1" ht="13.5" x14ac:dyDescent="0.25">
      <c r="B719" s="10" t="s">
        <v>1250</v>
      </c>
      <c r="C719" s="25" t="s">
        <v>53</v>
      </c>
      <c r="D719" s="16" t="str">
        <f>VLOOKUP(B719,'[1]ART 1'!A:E,5,FALSE)</f>
        <v>5</v>
      </c>
      <c r="E719" s="12" t="str">
        <f>VLOOKUP(B719,'[1]ART 2 A)'!A:E,5,FALSE)</f>
        <v>Ex.</v>
      </c>
      <c r="F719" s="12"/>
      <c r="G719" s="12"/>
      <c r="H719" s="12"/>
      <c r="I719" s="12"/>
      <c r="J719" s="12"/>
      <c r="K719" s="12" t="str">
        <f>VLOOKUP(B719,'[1]ART 7'!A:E,5,FALSE)</f>
        <v xml:space="preserve">5 </v>
      </c>
      <c r="L719" s="12"/>
      <c r="M719" s="12"/>
      <c r="N719" s="12"/>
      <c r="O719" s="12"/>
      <c r="P719" s="12"/>
      <c r="Q719" s="12"/>
      <c r="R719" s="12"/>
      <c r="S719" s="12" t="s">
        <v>1562</v>
      </c>
      <c r="T719" s="12"/>
      <c r="U719" s="12"/>
      <c r="V719" s="12"/>
      <c r="W719" s="12"/>
      <c r="X719" s="12" t="s">
        <v>1562</v>
      </c>
      <c r="Y719" s="12"/>
      <c r="Z719" s="12"/>
      <c r="AA719" s="12"/>
      <c r="AB719" s="12"/>
      <c r="AC719" s="12"/>
      <c r="AD719" s="17"/>
    </row>
    <row r="720" spans="2:30" s="3" customFormat="1" ht="40.5" x14ac:dyDescent="0.25">
      <c r="B720" s="10" t="s">
        <v>1251</v>
      </c>
      <c r="C720" s="25" t="s">
        <v>1249</v>
      </c>
      <c r="D720" s="16" t="str">
        <f>VLOOKUP(B720,'[1]ART 1'!A:E,5,FALSE)</f>
        <v>5</v>
      </c>
      <c r="E720" s="12" t="str">
        <f>VLOOKUP(B720,'[1]ART 2 A)'!A:E,5,FALSE)</f>
        <v>Ex.</v>
      </c>
      <c r="F720" s="12"/>
      <c r="G720" s="12" t="str">
        <f>VLOOKUP(B720,'[1]ART 3'!A:E,5,FALSE)</f>
        <v xml:space="preserve">Ex. </v>
      </c>
      <c r="H720" s="12" t="str">
        <f>VLOOKUP(B720,'[1]ART IV'!A:E,5,FALSE)</f>
        <v xml:space="preserve">Ex. </v>
      </c>
      <c r="I720" s="12"/>
      <c r="J720" s="12"/>
      <c r="K720" s="12" t="str">
        <f>VLOOKUP(B720,'[1]ART 7'!A:E,5,FALSE)</f>
        <v xml:space="preserve">5 </v>
      </c>
      <c r="L720" s="12"/>
      <c r="M720" s="12"/>
      <c r="N720" s="12"/>
      <c r="O720" s="12"/>
      <c r="P720" s="12"/>
      <c r="Q720" s="12"/>
      <c r="R720" s="12"/>
      <c r="S720" s="12" t="s">
        <v>1562</v>
      </c>
      <c r="T720" s="12"/>
      <c r="U720" s="12"/>
      <c r="V720" s="12"/>
      <c r="W720" s="12"/>
      <c r="X720" s="12" t="s">
        <v>1562</v>
      </c>
      <c r="Y720" s="12"/>
      <c r="Z720" s="12"/>
      <c r="AA720" s="12"/>
      <c r="AB720" s="12"/>
      <c r="AC720" s="12"/>
      <c r="AD720" s="17"/>
    </row>
    <row r="721" spans="2:30" s="3" customFormat="1" ht="13.5" x14ac:dyDescent="0.25">
      <c r="B721" s="10" t="s">
        <v>1252</v>
      </c>
      <c r="C721" s="25" t="s">
        <v>53</v>
      </c>
      <c r="D721" s="16" t="str">
        <f>VLOOKUP(B721,'[1]ART 1'!A:E,5,FALSE)</f>
        <v>5</v>
      </c>
      <c r="E721" s="12" t="str">
        <f>VLOOKUP(B721,'[1]ART 2 A)'!A:E,5,FALSE)</f>
        <v>Ex.</v>
      </c>
      <c r="F721" s="12"/>
      <c r="G721" s="12"/>
      <c r="H721" s="12"/>
      <c r="I721" s="12"/>
      <c r="J721" s="12"/>
      <c r="K721" s="12"/>
      <c r="L721" s="12"/>
      <c r="M721" s="12"/>
      <c r="N721" s="12"/>
      <c r="O721" s="12"/>
      <c r="P721" s="12"/>
      <c r="Q721" s="12"/>
      <c r="R721" s="12"/>
      <c r="S721" s="12"/>
      <c r="T721" s="12"/>
      <c r="U721" s="12"/>
      <c r="V721" s="12"/>
      <c r="W721" s="12"/>
      <c r="X721" s="12" t="s">
        <v>1562</v>
      </c>
      <c r="Y721" s="12"/>
      <c r="Z721" s="12"/>
      <c r="AA721" s="12"/>
      <c r="AB721" s="12"/>
      <c r="AC721" s="12"/>
      <c r="AD721" s="17"/>
    </row>
    <row r="722" spans="2:30" s="3" customFormat="1" ht="27" x14ac:dyDescent="0.25">
      <c r="B722" s="10" t="s">
        <v>1253</v>
      </c>
      <c r="C722" s="25" t="s">
        <v>1254</v>
      </c>
      <c r="D722" s="16"/>
      <c r="E722" s="12" t="str">
        <f>VLOOKUP(B722,'[1]ART 2 A)'!A:E,5,FALSE)</f>
        <v>Ex.</v>
      </c>
      <c r="F722" s="12"/>
      <c r="G722" s="12"/>
      <c r="H722" s="12"/>
      <c r="I722" s="12"/>
      <c r="J722" s="12"/>
      <c r="K722" s="12"/>
      <c r="L722" s="12"/>
      <c r="M722" s="12"/>
      <c r="N722" s="12"/>
      <c r="O722" s="12"/>
      <c r="P722" s="12"/>
      <c r="Q722" s="12"/>
      <c r="R722" s="12"/>
      <c r="S722" s="12"/>
      <c r="T722" s="12"/>
      <c r="U722" s="12"/>
      <c r="V722" s="12"/>
      <c r="W722" s="12"/>
      <c r="X722" s="12" t="s">
        <v>1562</v>
      </c>
      <c r="Y722" s="12"/>
      <c r="Z722" s="12"/>
      <c r="AA722" s="12"/>
      <c r="AB722" s="12"/>
      <c r="AC722" s="12"/>
      <c r="AD722" s="17"/>
    </row>
    <row r="723" spans="2:30" s="3" customFormat="1" ht="54" x14ac:dyDescent="0.25">
      <c r="B723" s="10" t="s">
        <v>1255</v>
      </c>
      <c r="C723" s="25" t="s">
        <v>1256</v>
      </c>
      <c r="D723" s="16"/>
      <c r="E723" s="12" t="str">
        <f>VLOOKUP(B723,'[1]ART 2 A)'!A:E,5,FALSE)</f>
        <v>Ex.</v>
      </c>
      <c r="F723" s="12"/>
      <c r="G723" s="12"/>
      <c r="H723" s="12"/>
      <c r="I723" s="12"/>
      <c r="J723" s="12"/>
      <c r="K723" s="12" t="str">
        <f>VLOOKUP(B723,'[1]ART 7'!A:E,5,FALSE)</f>
        <v xml:space="preserve">Ex. </v>
      </c>
      <c r="L723" s="12"/>
      <c r="M723" s="12"/>
      <c r="N723" s="12"/>
      <c r="O723" s="12"/>
      <c r="P723" s="12"/>
      <c r="Q723" s="12"/>
      <c r="R723" s="12"/>
      <c r="S723" s="12"/>
      <c r="T723" s="12"/>
      <c r="U723" s="12"/>
      <c r="V723" s="12"/>
      <c r="W723" s="12"/>
      <c r="X723" s="12" t="s">
        <v>1562</v>
      </c>
      <c r="Y723" s="12"/>
      <c r="Z723" s="12"/>
      <c r="AA723" s="12"/>
      <c r="AB723" s="12"/>
      <c r="AC723" s="12"/>
      <c r="AD723" s="17"/>
    </row>
    <row r="724" spans="2:30" s="3" customFormat="1" ht="13.5" x14ac:dyDescent="0.25">
      <c r="B724" s="10" t="s">
        <v>1257</v>
      </c>
      <c r="C724" s="25" t="s">
        <v>1258</v>
      </c>
      <c r="D724" s="16"/>
      <c r="E724" s="12"/>
      <c r="F724" s="12"/>
      <c r="G724" s="12"/>
      <c r="H724" s="12"/>
      <c r="I724" s="12"/>
      <c r="J724" s="12"/>
      <c r="K724" s="12"/>
      <c r="L724" s="12"/>
      <c r="M724" s="12"/>
      <c r="N724" s="12"/>
      <c r="O724" s="12"/>
      <c r="P724" s="12"/>
      <c r="Q724" s="12"/>
      <c r="R724" s="12"/>
      <c r="S724" s="12"/>
      <c r="T724" s="12"/>
      <c r="U724" s="12"/>
      <c r="V724" s="12"/>
      <c r="W724" s="12"/>
      <c r="X724" s="12" t="s">
        <v>1562</v>
      </c>
      <c r="Y724" s="12"/>
      <c r="Z724" s="12"/>
      <c r="AA724" s="12"/>
      <c r="AB724" s="12"/>
      <c r="AC724" s="12"/>
      <c r="AD724" s="17"/>
    </row>
    <row r="725" spans="2:30" s="3" customFormat="1" ht="27" x14ac:dyDescent="0.25">
      <c r="B725" s="10" t="s">
        <v>1259</v>
      </c>
      <c r="C725" s="25" t="s">
        <v>1260</v>
      </c>
      <c r="D725" s="16"/>
      <c r="E725" s="12" t="str">
        <f>VLOOKUP(B725,'[1]ART 2 A)'!A:E,5,FALSE)</f>
        <v>Ex.Excepto: Estufas.</v>
      </c>
      <c r="F725" s="12"/>
      <c r="G725" s="12"/>
      <c r="H725" s="12"/>
      <c r="I725" s="12"/>
      <c r="J725" s="12"/>
      <c r="K725" s="12"/>
      <c r="L725" s="12"/>
      <c r="M725" s="12"/>
      <c r="N725" s="12"/>
      <c r="O725" s="12"/>
      <c r="P725" s="12"/>
      <c r="Q725" s="12"/>
      <c r="R725" s="12"/>
      <c r="S725" s="12"/>
      <c r="T725" s="12"/>
      <c r="U725" s="12"/>
      <c r="V725" s="12"/>
      <c r="W725" s="12"/>
      <c r="X725" s="12" t="s">
        <v>1712</v>
      </c>
      <c r="Y725" s="12"/>
      <c r="Z725" s="12"/>
      <c r="AA725" s="12"/>
      <c r="AB725" s="12"/>
      <c r="AC725" s="12"/>
      <c r="AD725" s="17"/>
    </row>
    <row r="726" spans="2:30" s="3" customFormat="1" ht="13.5" x14ac:dyDescent="0.25">
      <c r="B726" s="10" t="s">
        <v>1261</v>
      </c>
      <c r="C726" s="25" t="s">
        <v>1262</v>
      </c>
      <c r="D726" s="16"/>
      <c r="E726" s="12"/>
      <c r="F726" s="12"/>
      <c r="G726" s="12"/>
      <c r="H726" s="12"/>
      <c r="I726" s="12"/>
      <c r="J726" s="12"/>
      <c r="K726" s="12"/>
      <c r="L726" s="12"/>
      <c r="M726" s="12"/>
      <c r="N726" s="12"/>
      <c r="O726" s="12"/>
      <c r="P726" s="12"/>
      <c r="Q726" s="12"/>
      <c r="R726" s="12"/>
      <c r="S726" s="12"/>
      <c r="T726" s="12"/>
      <c r="U726" s="12"/>
      <c r="V726" s="12"/>
      <c r="W726" s="12"/>
      <c r="X726" s="12" t="s">
        <v>1562</v>
      </c>
      <c r="Y726" s="12"/>
      <c r="Z726" s="12"/>
      <c r="AA726" s="12"/>
      <c r="AB726" s="12"/>
      <c r="AC726" s="12"/>
      <c r="AD726" s="17"/>
    </row>
    <row r="727" spans="2:30" s="3" customFormat="1" ht="13.5" x14ac:dyDescent="0.25">
      <c r="B727" s="10" t="s">
        <v>1263</v>
      </c>
      <c r="C727" s="25" t="s">
        <v>53</v>
      </c>
      <c r="D727" s="16"/>
      <c r="E727" s="12" t="str">
        <f>VLOOKUP(B727,'[1]ART 2 A)'!A:E,5,FALSE)</f>
        <v>Ex.</v>
      </c>
      <c r="F727" s="12"/>
      <c r="G727" s="12"/>
      <c r="H727" s="12"/>
      <c r="I727" s="12"/>
      <c r="J727" s="12"/>
      <c r="K727" s="12"/>
      <c r="L727" s="12"/>
      <c r="M727" s="12"/>
      <c r="N727" s="12"/>
      <c r="O727" s="12"/>
      <c r="P727" s="12"/>
      <c r="Q727" s="12"/>
      <c r="R727" s="12"/>
      <c r="S727" s="12"/>
      <c r="T727" s="12"/>
      <c r="U727" s="12"/>
      <c r="V727" s="12"/>
      <c r="W727" s="12"/>
      <c r="X727" s="12" t="s">
        <v>1562</v>
      </c>
      <c r="Y727" s="12"/>
      <c r="Z727" s="12"/>
      <c r="AA727" s="12"/>
      <c r="AB727" s="12"/>
      <c r="AC727" s="12"/>
      <c r="AD727" s="17"/>
    </row>
    <row r="728" spans="2:30" s="3" customFormat="1" ht="121.5" x14ac:dyDescent="0.25">
      <c r="B728" s="10" t="s">
        <v>1264</v>
      </c>
      <c r="C728" s="25" t="s">
        <v>1265</v>
      </c>
      <c r="D728" s="16"/>
      <c r="E728" s="12"/>
      <c r="F728" s="12"/>
      <c r="G728" s="12"/>
      <c r="H728" s="12"/>
      <c r="I728" s="12"/>
      <c r="J728" s="12"/>
      <c r="K728" s="12"/>
      <c r="L728" s="12"/>
      <c r="M728" s="12"/>
      <c r="N728" s="12"/>
      <c r="O728" s="12"/>
      <c r="P728" s="12"/>
      <c r="Q728" s="12"/>
      <c r="R728" s="12"/>
      <c r="S728" s="12" t="s">
        <v>1713</v>
      </c>
      <c r="T728" s="12"/>
      <c r="U728" s="12"/>
      <c r="V728" s="12"/>
      <c r="W728" s="12"/>
      <c r="X728" s="12"/>
      <c r="Y728" s="12"/>
      <c r="Z728" s="12"/>
      <c r="AA728" s="12"/>
      <c r="AB728" s="12"/>
      <c r="AC728" s="12"/>
      <c r="AD728" s="17"/>
    </row>
    <row r="729" spans="2:30" s="3" customFormat="1" ht="13.5" x14ac:dyDescent="0.25">
      <c r="B729" s="10" t="s">
        <v>1266</v>
      </c>
      <c r="C729" s="25" t="s">
        <v>1267</v>
      </c>
      <c r="D729" s="16"/>
      <c r="E729" s="12" t="str">
        <f>VLOOKUP(B729,'[1]ART 2 A)'!A:E,5,FALSE)</f>
        <v>Ex.</v>
      </c>
      <c r="F729" s="12"/>
      <c r="G729" s="12"/>
      <c r="H729" s="12"/>
      <c r="I729" s="12"/>
      <c r="J729" s="12"/>
      <c r="K729" s="12"/>
      <c r="L729" s="12"/>
      <c r="M729" s="12"/>
      <c r="N729" s="12"/>
      <c r="O729" s="12"/>
      <c r="P729" s="12"/>
      <c r="Q729" s="12"/>
      <c r="R729" s="12"/>
      <c r="S729" s="12"/>
      <c r="T729" s="12"/>
      <c r="U729" s="12"/>
      <c r="V729" s="12"/>
      <c r="W729" s="12"/>
      <c r="X729" s="12" t="s">
        <v>1562</v>
      </c>
      <c r="Y729" s="12"/>
      <c r="Z729" s="12"/>
      <c r="AA729" s="12"/>
      <c r="AB729" s="12"/>
      <c r="AC729" s="12"/>
      <c r="AD729" s="17"/>
    </row>
    <row r="730" spans="2:30" s="3" customFormat="1" ht="67.5" x14ac:dyDescent="0.25">
      <c r="B730" s="10" t="s">
        <v>1268</v>
      </c>
      <c r="C730" s="25" t="s">
        <v>1269</v>
      </c>
      <c r="D730" s="16" t="str">
        <f>VLOOKUP(B730,'[1]ART 1'!A:E,5,FALSE)</f>
        <v>Ex.</v>
      </c>
      <c r="E730" s="12" t="str">
        <f>VLOOKUP(B730,'[1]ART 2 A)'!A:E,5,FALSE)</f>
        <v>Ex.</v>
      </c>
      <c r="F730" s="12"/>
      <c r="G730" s="12"/>
      <c r="H730" s="12"/>
      <c r="I730" s="12"/>
      <c r="J730" s="12"/>
      <c r="K730" s="12"/>
      <c r="L730" s="12"/>
      <c r="M730" s="12"/>
      <c r="N730" s="12"/>
      <c r="O730" s="12"/>
      <c r="P730" s="12"/>
      <c r="Q730" s="12"/>
      <c r="R730" s="12"/>
      <c r="S730" s="12"/>
      <c r="T730" s="12"/>
      <c r="U730" s="12"/>
      <c r="V730" s="12"/>
      <c r="W730" s="12"/>
      <c r="X730" s="12" t="s">
        <v>1562</v>
      </c>
      <c r="Y730" s="12"/>
      <c r="Z730" s="12"/>
      <c r="AA730" s="12"/>
      <c r="AB730" s="12"/>
      <c r="AC730" s="12"/>
      <c r="AD730" s="17"/>
    </row>
    <row r="731" spans="2:30" s="3" customFormat="1" ht="229.5" x14ac:dyDescent="0.25">
      <c r="B731" s="10" t="s">
        <v>1270</v>
      </c>
      <c r="C731" s="25" t="s">
        <v>1271</v>
      </c>
      <c r="D731" s="16" t="str">
        <f>VLOOKUP(B731,'[1]ART 1'!A:E,5,FALSE)</f>
        <v>Ex.Únicamente: Sistemas constituidos por un altavoz subwoofer con amplificador incorporado, y varios altavoces (dos o más altavoces por caja), que se conectan a dicho amplificador.</v>
      </c>
      <c r="E731" s="12" t="str">
        <f>VLOOKUP(B731,'[1]ART 2 A)'!A:E,5,FALSE)</f>
        <v>Ex.</v>
      </c>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7"/>
    </row>
    <row r="732" spans="2:30" s="3" customFormat="1" ht="13.5" x14ac:dyDescent="0.25">
      <c r="B732" s="10" t="s">
        <v>1272</v>
      </c>
      <c r="C732" s="25" t="s">
        <v>1273</v>
      </c>
      <c r="D732" s="16" t="str">
        <f>VLOOKUP(B732,'[1]ART 1'!A:E,5,FALSE)</f>
        <v>Ex.</v>
      </c>
      <c r="E732" s="12" t="str">
        <f>VLOOKUP(B732,'[1]ART 2 A)'!A:E,5,FALSE)</f>
        <v>Ex.</v>
      </c>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7"/>
    </row>
    <row r="733" spans="2:30" s="3" customFormat="1" ht="121.5" x14ac:dyDescent="0.25">
      <c r="B733" s="10" t="s">
        <v>1274</v>
      </c>
      <c r="C733" s="25" t="s">
        <v>1275</v>
      </c>
      <c r="D733" s="16" t="str">
        <f>VLOOKUP(B733,'[1]ART 1'!A:E,5,FALSE)</f>
        <v>Ex.</v>
      </c>
      <c r="E733" s="12" t="str">
        <f>VLOOKUP(B733,'[1]ART 2 A)'!A:E,5,FALSE)</f>
        <v>Ex.</v>
      </c>
      <c r="F733" s="12"/>
      <c r="G733" s="12"/>
      <c r="H733" s="12"/>
      <c r="I733" s="12"/>
      <c r="J733" s="12"/>
      <c r="K733" s="12"/>
      <c r="L733" s="12"/>
      <c r="M733" s="12"/>
      <c r="N733" s="12"/>
      <c r="O733" s="12"/>
      <c r="P733" s="12"/>
      <c r="Q733" s="12"/>
      <c r="R733" s="12"/>
      <c r="S733" s="12"/>
      <c r="T733" s="12"/>
      <c r="U733" s="12"/>
      <c r="V733" s="12"/>
      <c r="W733" s="12"/>
      <c r="X733" s="12" t="s">
        <v>1714</v>
      </c>
      <c r="Y733" s="12"/>
      <c r="Z733" s="12"/>
      <c r="AA733" s="12"/>
      <c r="AB733" s="12"/>
      <c r="AC733" s="12"/>
      <c r="AD733" s="17"/>
    </row>
    <row r="734" spans="2:30" s="3" customFormat="1" ht="27" x14ac:dyDescent="0.25">
      <c r="B734" s="10" t="s">
        <v>1276</v>
      </c>
      <c r="C734" s="25" t="s">
        <v>1277</v>
      </c>
      <c r="D734" s="16" t="str">
        <f>VLOOKUP(B734,'[1]ART 1'!A:E,5,FALSE)</f>
        <v>Ex.</v>
      </c>
      <c r="E734" s="12"/>
      <c r="F734" s="12"/>
      <c r="G734" s="12"/>
      <c r="H734" s="12"/>
      <c r="I734" s="12"/>
      <c r="J734" s="12"/>
      <c r="K734" s="12"/>
      <c r="L734" s="12"/>
      <c r="M734" s="12"/>
      <c r="N734" s="12"/>
      <c r="O734" s="12"/>
      <c r="P734" s="12"/>
      <c r="Q734" s="12"/>
      <c r="R734" s="12"/>
      <c r="S734" s="12"/>
      <c r="T734" s="12"/>
      <c r="U734" s="12"/>
      <c r="V734" s="12"/>
      <c r="W734" s="12"/>
      <c r="X734" s="12" t="s">
        <v>1562</v>
      </c>
      <c r="Y734" s="12"/>
      <c r="Z734" s="12"/>
      <c r="AA734" s="12"/>
      <c r="AB734" s="12"/>
      <c r="AC734" s="12"/>
      <c r="AD734" s="17"/>
    </row>
    <row r="735" spans="2:30" s="3" customFormat="1" ht="13.5" x14ac:dyDescent="0.25">
      <c r="B735" s="10" t="s">
        <v>1278</v>
      </c>
      <c r="C735" s="25" t="s">
        <v>1279</v>
      </c>
      <c r="D735" s="16"/>
      <c r="E735" s="12" t="str">
        <f>VLOOKUP(B735,'[1]ART 2 A)'!A:E,5,FALSE)</f>
        <v>Ex.</v>
      </c>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7"/>
    </row>
    <row r="736" spans="2:30" s="3" customFormat="1" ht="162" x14ac:dyDescent="0.25">
      <c r="B736" s="10" t="s">
        <v>1280</v>
      </c>
      <c r="C736" s="25" t="s">
        <v>53</v>
      </c>
      <c r="D736" s="16"/>
      <c r="E736" s="12" t="str">
        <f>VLOOKUP(B736,'[1]ART 2 A)'!A:E,5,FALSE)</f>
        <v>Ex.Excepto: Aparatos de grabación de sonido, almacenado en soportes de tecnología digital, incluso con dispositivo de reproducción incorporado.</v>
      </c>
      <c r="F736" s="12"/>
      <c r="G736" s="12"/>
      <c r="H736" s="12"/>
      <c r="I736" s="12"/>
      <c r="J736" s="12"/>
      <c r="K736" s="12"/>
      <c r="L736" s="12"/>
      <c r="M736" s="12"/>
      <c r="N736" s="12"/>
      <c r="O736" s="12"/>
      <c r="P736" s="12"/>
      <c r="Q736" s="12"/>
      <c r="R736" s="12"/>
      <c r="S736" s="12"/>
      <c r="T736" s="12"/>
      <c r="U736" s="12"/>
      <c r="V736" s="12"/>
      <c r="W736" s="12"/>
      <c r="X736" s="12" t="s">
        <v>1715</v>
      </c>
      <c r="Y736" s="12"/>
      <c r="Z736" s="12"/>
      <c r="AA736" s="12"/>
      <c r="AB736" s="12"/>
      <c r="AC736" s="12"/>
      <c r="AD736" s="17"/>
    </row>
    <row r="737" spans="2:30" s="3" customFormat="1" ht="13.5" x14ac:dyDescent="0.25">
      <c r="B737" s="10" t="s">
        <v>1281</v>
      </c>
      <c r="C737" s="25" t="s">
        <v>53</v>
      </c>
      <c r="D737" s="16"/>
      <c r="E737" s="12" t="str">
        <f>VLOOKUP(B737,'[1]ART 2 A)'!A:E,5,FALSE)</f>
        <v>Ex.</v>
      </c>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7"/>
    </row>
    <row r="738" spans="2:30" s="3" customFormat="1" ht="202.5" x14ac:dyDescent="0.25">
      <c r="B738" s="10" t="s">
        <v>1282</v>
      </c>
      <c r="C738" s="25" t="s">
        <v>1283</v>
      </c>
      <c r="D738" s="16" t="str">
        <f>VLOOKUP(B738,'[1]ART 1'!A:E,5,FALSE)</f>
        <v>Ex.Excepto: Cintas magnéticas grabadas.</v>
      </c>
      <c r="E738" s="12" t="str">
        <f>VLOOKUP(B738,'[1]ART 2 A)'!A:E,5,FALSE)</f>
        <v>Ex.</v>
      </c>
      <c r="F738" s="12"/>
      <c r="G738" s="12"/>
      <c r="H738" s="12" t="str">
        <f>VLOOKUP(B738,'[1]ART IV'!A:E,5,FALSE)</f>
        <v xml:space="preserve">Ex. </v>
      </c>
      <c r="I738" s="12"/>
      <c r="J738" s="12"/>
      <c r="K738" s="12"/>
      <c r="L738" s="12" t="str">
        <f>VLOOKUP(B738,'[1]ART 8'!A:E,5,FALSE)</f>
        <v>Ex. Excepto: Cintas magnéticas grabadas, reconocibles como diseñadas exclusivamente para ser utilizadas en “video tape”, cuando se presenten en cartuchos o casetes.</v>
      </c>
      <c r="M738" s="12"/>
      <c r="N738" s="12"/>
      <c r="O738" s="12"/>
      <c r="P738" s="12"/>
      <c r="Q738" s="12"/>
      <c r="R738" s="12"/>
      <c r="S738" s="12"/>
      <c r="T738" s="12"/>
      <c r="U738" s="12"/>
      <c r="V738" s="12"/>
      <c r="W738" s="12"/>
      <c r="X738" s="12" t="s">
        <v>1716</v>
      </c>
      <c r="Y738" s="12"/>
      <c r="Z738" s="12"/>
      <c r="AA738" s="12"/>
      <c r="AB738" s="12"/>
      <c r="AC738" s="12"/>
      <c r="AD738" s="17"/>
    </row>
    <row r="739" spans="2:30" s="3" customFormat="1" ht="54" x14ac:dyDescent="0.25">
      <c r="B739" s="10" t="s">
        <v>1284</v>
      </c>
      <c r="C739" s="25" t="s">
        <v>1285</v>
      </c>
      <c r="D739" s="16"/>
      <c r="E739" s="12" t="str">
        <f>VLOOKUP(B739,'[1]ART 2 A)'!A:E,5,FALSE)</f>
        <v>Ex.</v>
      </c>
      <c r="F739" s="12"/>
      <c r="G739" s="12"/>
      <c r="H739" s="12" t="str">
        <f>VLOOKUP(B739,'[1]ART IV'!A:E,5,FALSE)</f>
        <v xml:space="preserve">Ex. </v>
      </c>
      <c r="I739" s="12"/>
      <c r="J739" s="12"/>
      <c r="K739" s="12"/>
      <c r="L739" s="12"/>
      <c r="M739" s="12"/>
      <c r="N739" s="12"/>
      <c r="O739" s="12"/>
      <c r="P739" s="12"/>
      <c r="Q739" s="12"/>
      <c r="R739" s="12"/>
      <c r="S739" s="12"/>
      <c r="T739" s="12"/>
      <c r="U739" s="12"/>
      <c r="V739" s="12"/>
      <c r="W739" s="12"/>
      <c r="X739" s="12" t="s">
        <v>1562</v>
      </c>
      <c r="Y739" s="12"/>
      <c r="Z739" s="12"/>
      <c r="AA739" s="12"/>
      <c r="AB739" s="12"/>
      <c r="AC739" s="12"/>
      <c r="AD739" s="17"/>
    </row>
    <row r="740" spans="2:30" s="3" customFormat="1" ht="13.5" x14ac:dyDescent="0.25">
      <c r="B740" s="10" t="s">
        <v>1286</v>
      </c>
      <c r="C740" s="25" t="s">
        <v>53</v>
      </c>
      <c r="D740" s="16"/>
      <c r="E740" s="12" t="str">
        <f>VLOOKUP(B740,'[1]ART 2 A)'!A:E,5,FALSE)</f>
        <v>Ex.</v>
      </c>
      <c r="F740" s="12"/>
      <c r="G740" s="12"/>
      <c r="H740" s="12" t="str">
        <f>VLOOKUP(B740,'[1]ART IV'!A:E,5,FALSE)</f>
        <v xml:space="preserve">Ex. </v>
      </c>
      <c r="I740" s="12"/>
      <c r="J740" s="12"/>
      <c r="K740" s="12"/>
      <c r="L740" s="12" t="str">
        <f>VLOOKUP(B740,'[1]ART 8'!A:E,5,FALSE)</f>
        <v xml:space="preserve">Ex. </v>
      </c>
      <c r="M740" s="12"/>
      <c r="N740" s="12"/>
      <c r="O740" s="12"/>
      <c r="P740" s="12"/>
      <c r="Q740" s="12"/>
      <c r="R740" s="12"/>
      <c r="S740" s="12"/>
      <c r="T740" s="12"/>
      <c r="U740" s="12"/>
      <c r="V740" s="12"/>
      <c r="W740" s="12"/>
      <c r="X740" s="12" t="s">
        <v>1562</v>
      </c>
      <c r="Y740" s="12"/>
      <c r="Z740" s="12"/>
      <c r="AA740" s="12"/>
      <c r="AB740" s="12"/>
      <c r="AC740" s="12"/>
      <c r="AD740" s="17"/>
    </row>
    <row r="741" spans="2:30" s="3" customFormat="1" ht="13.5" x14ac:dyDescent="0.25">
      <c r="B741" s="10" t="s">
        <v>1287</v>
      </c>
      <c r="C741" s="25" t="s">
        <v>53</v>
      </c>
      <c r="D741" s="16"/>
      <c r="E741" s="12"/>
      <c r="F741" s="12"/>
      <c r="G741" s="12"/>
      <c r="H741" s="12"/>
      <c r="I741" s="12"/>
      <c r="J741" s="12"/>
      <c r="K741" s="12"/>
      <c r="L741" s="12"/>
      <c r="M741" s="12"/>
      <c r="N741" s="12"/>
      <c r="O741" s="12"/>
      <c r="P741" s="12"/>
      <c r="Q741" s="12"/>
      <c r="R741" s="12"/>
      <c r="S741" s="12"/>
      <c r="T741" s="12"/>
      <c r="U741" s="12"/>
      <c r="V741" s="12"/>
      <c r="W741" s="12"/>
      <c r="X741" s="12" t="s">
        <v>1562</v>
      </c>
      <c r="Y741" s="12"/>
      <c r="Z741" s="12"/>
      <c r="AA741" s="12"/>
      <c r="AB741" s="12"/>
      <c r="AC741" s="12"/>
      <c r="AD741" s="17"/>
    </row>
    <row r="742" spans="2:30" s="3" customFormat="1" ht="13.5" x14ac:dyDescent="0.25">
      <c r="B742" s="10" t="s">
        <v>1288</v>
      </c>
      <c r="C742" s="25" t="s">
        <v>53</v>
      </c>
      <c r="D742" s="16"/>
      <c r="E742" s="12" t="str">
        <f>VLOOKUP(B742,'[1]ART 2 A)'!A:E,5,FALSE)</f>
        <v>Ex.</v>
      </c>
      <c r="F742" s="12"/>
      <c r="G742" s="12" t="str">
        <f>VLOOKUP(B742,'[1]ART 3'!A:E,5,FALSE)</f>
        <v xml:space="preserve">Ex. </v>
      </c>
      <c r="H742" s="12"/>
      <c r="I742" s="12"/>
      <c r="J742" s="12" t="str">
        <f>VLOOKUP(B742,'[1]ART 6'!A:E,5,FALSE)</f>
        <v xml:space="preserve">5 </v>
      </c>
      <c r="K742" s="12"/>
      <c r="L742" s="12"/>
      <c r="M742" s="12"/>
      <c r="N742" s="12" t="s">
        <v>1570</v>
      </c>
      <c r="O742" s="12"/>
      <c r="P742" s="12"/>
      <c r="Q742" s="12"/>
      <c r="R742" s="12"/>
      <c r="S742" s="12"/>
      <c r="T742" s="12"/>
      <c r="U742" s="12"/>
      <c r="V742" s="12"/>
      <c r="W742" s="12"/>
      <c r="X742" s="12" t="s">
        <v>1562</v>
      </c>
      <c r="Y742" s="12"/>
      <c r="Z742" s="12"/>
      <c r="AA742" s="12"/>
      <c r="AB742" s="12"/>
      <c r="AC742" s="12"/>
      <c r="AD742" s="17"/>
    </row>
    <row r="743" spans="2:30" s="3" customFormat="1" ht="13.5" x14ac:dyDescent="0.25">
      <c r="B743" s="10" t="s">
        <v>1289</v>
      </c>
      <c r="C743" s="25" t="s">
        <v>53</v>
      </c>
      <c r="D743" s="16"/>
      <c r="E743" s="12" t="str">
        <f>VLOOKUP(B743,'[1]ART 2 A)'!A:E,5,FALSE)</f>
        <v>Ex.</v>
      </c>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7"/>
    </row>
    <row r="744" spans="2:30" s="3" customFormat="1" ht="13.5" x14ac:dyDescent="0.25">
      <c r="B744" s="10" t="s">
        <v>1290</v>
      </c>
      <c r="C744" s="25" t="s">
        <v>53</v>
      </c>
      <c r="D744" s="16"/>
      <c r="E744" s="12" t="str">
        <f>VLOOKUP(B744,'[1]ART 2 A)'!A:E,5,FALSE)</f>
        <v>Ex.</v>
      </c>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7"/>
    </row>
    <row r="745" spans="2:30" s="3" customFormat="1" ht="67.5" x14ac:dyDescent="0.25">
      <c r="B745" s="10" t="s">
        <v>1291</v>
      </c>
      <c r="C745" s="25" t="s">
        <v>1292</v>
      </c>
      <c r="D745" s="16"/>
      <c r="E745" s="12"/>
      <c r="F745" s="12"/>
      <c r="G745" s="12"/>
      <c r="H745" s="12"/>
      <c r="I745" s="12"/>
      <c r="J745" s="12"/>
      <c r="K745" s="12"/>
      <c r="L745" s="12"/>
      <c r="M745" s="12"/>
      <c r="N745" s="12"/>
      <c r="O745" s="12"/>
      <c r="P745" s="12"/>
      <c r="Q745" s="12"/>
      <c r="R745" s="12"/>
      <c r="S745" s="12"/>
      <c r="T745" s="12"/>
      <c r="U745" s="12"/>
      <c r="V745" s="12"/>
      <c r="W745" s="12"/>
      <c r="X745" s="12" t="s">
        <v>1570</v>
      </c>
      <c r="Y745" s="12"/>
      <c r="Z745" s="12"/>
      <c r="AA745" s="12"/>
      <c r="AB745" s="12"/>
      <c r="AC745" s="12"/>
      <c r="AD745" s="17"/>
    </row>
    <row r="746" spans="2:30" s="3" customFormat="1" ht="13.5" x14ac:dyDescent="0.25">
      <c r="B746" s="10" t="s">
        <v>1293</v>
      </c>
      <c r="C746" s="25" t="s">
        <v>53</v>
      </c>
      <c r="D746" s="16"/>
      <c r="E746" s="12"/>
      <c r="F746" s="12"/>
      <c r="G746" s="12"/>
      <c r="H746" s="12"/>
      <c r="I746" s="12"/>
      <c r="J746" s="12"/>
      <c r="K746" s="12"/>
      <c r="L746" s="12"/>
      <c r="M746" s="12"/>
      <c r="N746" s="12"/>
      <c r="O746" s="12"/>
      <c r="P746" s="12"/>
      <c r="Q746" s="12"/>
      <c r="R746" s="12"/>
      <c r="S746" s="12"/>
      <c r="T746" s="12"/>
      <c r="U746" s="12"/>
      <c r="V746" s="12"/>
      <c r="W746" s="12"/>
      <c r="X746" s="12" t="s">
        <v>1571</v>
      </c>
      <c r="Y746" s="12"/>
      <c r="Z746" s="12"/>
      <c r="AA746" s="12"/>
      <c r="AB746" s="12"/>
      <c r="AC746" s="12"/>
      <c r="AD746" s="17"/>
    </row>
    <row r="747" spans="2:30" s="3" customFormat="1" ht="54" x14ac:dyDescent="0.25">
      <c r="B747" s="10" t="s">
        <v>1294</v>
      </c>
      <c r="C747" s="25" t="s">
        <v>1295</v>
      </c>
      <c r="D747" s="16"/>
      <c r="E747" s="12"/>
      <c r="F747" s="12"/>
      <c r="G747" s="12"/>
      <c r="H747" s="12"/>
      <c r="I747" s="12"/>
      <c r="J747" s="12"/>
      <c r="K747" s="12"/>
      <c r="L747" s="12"/>
      <c r="M747" s="12"/>
      <c r="N747" s="12"/>
      <c r="O747" s="12"/>
      <c r="P747" s="12"/>
      <c r="Q747" s="12"/>
      <c r="R747" s="12"/>
      <c r="S747" s="12"/>
      <c r="T747" s="12"/>
      <c r="U747" s="12"/>
      <c r="V747" s="12"/>
      <c r="W747" s="12"/>
      <c r="X747" s="12" t="s">
        <v>1570</v>
      </c>
      <c r="Y747" s="12"/>
      <c r="Z747" s="12"/>
      <c r="AA747" s="12"/>
      <c r="AB747" s="12"/>
      <c r="AC747" s="12"/>
      <c r="AD747" s="17"/>
    </row>
    <row r="748" spans="2:30" s="3" customFormat="1" ht="13.5" x14ac:dyDescent="0.25">
      <c r="B748" s="10" t="s">
        <v>1296</v>
      </c>
      <c r="C748" s="25" t="s">
        <v>53</v>
      </c>
      <c r="D748" s="16"/>
      <c r="E748" s="12"/>
      <c r="F748" s="12"/>
      <c r="G748" s="12"/>
      <c r="H748" s="12"/>
      <c r="I748" s="12"/>
      <c r="J748" s="12"/>
      <c r="K748" s="12"/>
      <c r="L748" s="12"/>
      <c r="M748" s="12"/>
      <c r="N748" s="12"/>
      <c r="O748" s="12"/>
      <c r="P748" s="12"/>
      <c r="Q748" s="12"/>
      <c r="R748" s="12"/>
      <c r="S748" s="12" t="s">
        <v>1562</v>
      </c>
      <c r="T748" s="12"/>
      <c r="U748" s="12"/>
      <c r="V748" s="12"/>
      <c r="W748" s="12"/>
      <c r="X748" s="12" t="s">
        <v>1571</v>
      </c>
      <c r="Y748" s="12"/>
      <c r="Z748" s="12"/>
      <c r="AA748" s="12"/>
      <c r="AB748" s="12"/>
      <c r="AC748" s="12"/>
      <c r="AD748" s="17"/>
    </row>
    <row r="749" spans="2:30" s="3" customFormat="1" ht="94.5" x14ac:dyDescent="0.25">
      <c r="B749" s="10" t="s">
        <v>1297</v>
      </c>
      <c r="C749" s="25" t="s">
        <v>1298</v>
      </c>
      <c r="D749" s="16"/>
      <c r="E749" s="12" t="str">
        <f>VLOOKUP(B749,'[1]ART 2 A)'!A:E,5,FALSE)</f>
        <v>Ex.Excepto: Portátil, para pilas y corriente, con altavoces y gabinete incorporados.</v>
      </c>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7"/>
    </row>
    <row r="750" spans="2:30" s="3" customFormat="1" ht="40.5" x14ac:dyDescent="0.25">
      <c r="B750" s="10" t="s">
        <v>1299</v>
      </c>
      <c r="C750" s="25" t="s">
        <v>1300</v>
      </c>
      <c r="D750" s="16"/>
      <c r="E750" s="12" t="str">
        <f>VLOOKUP(B750,'[1]ART 2 A)'!A:E,5,FALSE)</f>
        <v>Ex.</v>
      </c>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7"/>
    </row>
    <row r="751" spans="2:30" s="3" customFormat="1" ht="189" x14ac:dyDescent="0.25">
      <c r="B751" s="10" t="s">
        <v>1301</v>
      </c>
      <c r="C751" s="25" t="s">
        <v>1302</v>
      </c>
      <c r="D751" s="16"/>
      <c r="E751" s="12"/>
      <c r="F751" s="12"/>
      <c r="G751" s="12"/>
      <c r="H751" s="12"/>
      <c r="I751" s="12"/>
      <c r="J751" s="12"/>
      <c r="K751" s="12"/>
      <c r="L751" s="12"/>
      <c r="M751" s="12"/>
      <c r="N751" s="12"/>
      <c r="O751" s="12"/>
      <c r="P751" s="12"/>
      <c r="Q751" s="12"/>
      <c r="R751" s="12"/>
      <c r="S751" s="12"/>
      <c r="T751" s="12"/>
      <c r="U751" s="12"/>
      <c r="V751" s="12"/>
      <c r="W751" s="12"/>
      <c r="X751" s="12" t="s">
        <v>1717</v>
      </c>
      <c r="Y751" s="12"/>
      <c r="Z751" s="12"/>
      <c r="AA751" s="12"/>
      <c r="AB751" s="12"/>
      <c r="AC751" s="12"/>
      <c r="AD751" s="17"/>
    </row>
    <row r="752" spans="2:30" s="3" customFormat="1" ht="13.5" x14ac:dyDescent="0.25">
      <c r="B752" s="10" t="s">
        <v>1303</v>
      </c>
      <c r="C752" s="25" t="s">
        <v>53</v>
      </c>
      <c r="D752" s="16"/>
      <c r="E752" s="12" t="str">
        <f>VLOOKUP(B752,'[1]ART 2 A)'!A:E,5,FALSE)</f>
        <v>Ex.</v>
      </c>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7"/>
    </row>
    <row r="753" spans="2:30" s="3" customFormat="1" ht="13.5" x14ac:dyDescent="0.25">
      <c r="B753" s="10" t="s">
        <v>1304</v>
      </c>
      <c r="C753" s="25" t="s">
        <v>53</v>
      </c>
      <c r="D753" s="16"/>
      <c r="E753" s="12" t="str">
        <f>VLOOKUP(B753,'[1]ART 2 A)'!A:E,5,FALSE)</f>
        <v>Ex.</v>
      </c>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7"/>
    </row>
    <row r="754" spans="2:30" s="3" customFormat="1" ht="13.5" x14ac:dyDescent="0.25">
      <c r="B754" s="10" t="s">
        <v>1305</v>
      </c>
      <c r="C754" s="25" t="s">
        <v>53</v>
      </c>
      <c r="D754" s="16"/>
      <c r="E754" s="12" t="str">
        <f>VLOOKUP(B754,'[1]ART 2 A)'!A:E,5,FALSE)</f>
        <v>Ex.</v>
      </c>
      <c r="F754" s="12"/>
      <c r="G754" s="12"/>
      <c r="H754" s="12"/>
      <c r="I754" s="12"/>
      <c r="J754" s="12"/>
      <c r="K754" s="12"/>
      <c r="L754" s="12"/>
      <c r="M754" s="12"/>
      <c r="N754" s="12"/>
      <c r="O754" s="12"/>
      <c r="P754" s="12"/>
      <c r="Q754" s="12"/>
      <c r="R754" s="12"/>
      <c r="S754" s="12"/>
      <c r="T754" s="12"/>
      <c r="U754" s="12"/>
      <c r="V754" s="12"/>
      <c r="W754" s="12"/>
      <c r="X754" s="12" t="s">
        <v>1562</v>
      </c>
      <c r="Y754" s="12"/>
      <c r="Z754" s="12"/>
      <c r="AA754" s="12"/>
      <c r="AB754" s="12"/>
      <c r="AC754" s="12"/>
      <c r="AD754" s="17"/>
    </row>
    <row r="755" spans="2:30" s="3" customFormat="1" ht="67.5" x14ac:dyDescent="0.25">
      <c r="B755" s="10" t="s">
        <v>1306</v>
      </c>
      <c r="C755" s="25" t="s">
        <v>1307</v>
      </c>
      <c r="D755" s="16"/>
      <c r="E755" s="12" t="str">
        <f>VLOOKUP(B755,'[1]ART 2 A)'!A:E,5,FALSE)</f>
        <v>Ex.</v>
      </c>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7"/>
    </row>
    <row r="756" spans="2:30" s="3" customFormat="1" ht="67.5" x14ac:dyDescent="0.25">
      <c r="B756" s="10" t="s">
        <v>1308</v>
      </c>
      <c r="C756" s="25" t="s">
        <v>1309</v>
      </c>
      <c r="D756" s="16"/>
      <c r="E756" s="12" t="str">
        <f>VLOOKUP(B756,'[1]ART 2 A)'!A:E,5,FALSE)</f>
        <v>Ex.</v>
      </c>
      <c r="F756" s="12"/>
      <c r="G756" s="12"/>
      <c r="H756" s="12" t="str">
        <f>VLOOKUP(B756,'[1]ART IV'!A:E,5,FALSE)</f>
        <v xml:space="preserve">Ex. </v>
      </c>
      <c r="I756" s="12"/>
      <c r="J756" s="12"/>
      <c r="K756" s="12"/>
      <c r="L756" s="12"/>
      <c r="M756" s="12"/>
      <c r="N756" s="12"/>
      <c r="O756" s="12"/>
      <c r="P756" s="12"/>
      <c r="Q756" s="12"/>
      <c r="R756" s="12"/>
      <c r="S756" s="12"/>
      <c r="T756" s="12"/>
      <c r="U756" s="12"/>
      <c r="V756" s="12"/>
      <c r="W756" s="12"/>
      <c r="X756" s="12"/>
      <c r="Y756" s="12"/>
      <c r="Z756" s="12"/>
      <c r="AA756" s="12"/>
      <c r="AB756" s="12"/>
      <c r="AC756" s="12"/>
      <c r="AD756" s="17"/>
    </row>
    <row r="757" spans="2:30" s="3" customFormat="1" ht="13.5" x14ac:dyDescent="0.25">
      <c r="B757" s="10" t="s">
        <v>1310</v>
      </c>
      <c r="C757" s="25" t="s">
        <v>53</v>
      </c>
      <c r="D757" s="16"/>
      <c r="E757" s="12" t="str">
        <f>VLOOKUP(B757,'[1]ART 2 A)'!A:E,5,FALSE)</f>
        <v>Ex.</v>
      </c>
      <c r="F757" s="12"/>
      <c r="G757" s="12"/>
      <c r="H757" s="12"/>
      <c r="I757" s="12"/>
      <c r="J757" s="12"/>
      <c r="K757" s="12"/>
      <c r="L757" s="12"/>
      <c r="M757" s="12"/>
      <c r="N757" s="12"/>
      <c r="O757" s="12"/>
      <c r="P757" s="12"/>
      <c r="Q757" s="12"/>
      <c r="R757" s="12"/>
      <c r="S757" s="12"/>
      <c r="T757" s="12"/>
      <c r="U757" s="12"/>
      <c r="V757" s="12"/>
      <c r="W757" s="12"/>
      <c r="X757" s="12" t="s">
        <v>1562</v>
      </c>
      <c r="Y757" s="12"/>
      <c r="Z757" s="12"/>
      <c r="AA757" s="12"/>
      <c r="AB757" s="12"/>
      <c r="AC757" s="12"/>
      <c r="AD757" s="17"/>
    </row>
    <row r="758" spans="2:30" s="3" customFormat="1" ht="108" x14ac:dyDescent="0.25">
      <c r="B758" s="10" t="s">
        <v>1311</v>
      </c>
      <c r="C758" s="25" t="s">
        <v>1312</v>
      </c>
      <c r="D758" s="16" t="str">
        <f>VLOOKUP(B758,'[1]ART 1'!A:E,5,FALSE)</f>
        <v>Ex.Excepto: Detectores electrónicos de humo, de monóxido de carbono, o de calor.</v>
      </c>
      <c r="E758" s="12" t="str">
        <f>VLOOKUP(B758,'[1]ART 2 A)'!A:E,5,FALSE)</f>
        <v>Ex.Excepto: Detectores electrónicos de humo, de monóxido de carbono, o de calor.</v>
      </c>
      <c r="F758" s="12"/>
      <c r="G758" s="12"/>
      <c r="H758" s="12"/>
      <c r="I758" s="12"/>
      <c r="J758" s="12"/>
      <c r="K758" s="12" t="str">
        <f>VLOOKUP(B758,'[1]ART 7'!A:E,5,FALSE)</f>
        <v>5 Excepto: Detectores electrónicos de humo, de monóxido de carbono, o de calor.</v>
      </c>
      <c r="L758" s="12" t="str">
        <f>VLOOKUP(B758,'[1]ART 8'!A:E,5,FALSE)</f>
        <v>Ex. Excepto: Detectores electrónicos de humo, de monóxido de carbono, o de calor.</v>
      </c>
      <c r="M758" s="12"/>
      <c r="N758" s="12"/>
      <c r="O758" s="12" t="s">
        <v>1718</v>
      </c>
      <c r="P758" s="12"/>
      <c r="Q758" s="12"/>
      <c r="R758" s="12"/>
      <c r="S758" s="12" t="s">
        <v>1719</v>
      </c>
      <c r="T758" s="12"/>
      <c r="U758" s="12"/>
      <c r="V758" s="12"/>
      <c r="W758" s="12"/>
      <c r="X758" s="12" t="s">
        <v>1720</v>
      </c>
      <c r="Y758" s="12" t="s">
        <v>1718</v>
      </c>
      <c r="Z758" s="12"/>
      <c r="AA758" s="12"/>
      <c r="AB758" s="12"/>
      <c r="AC758" s="12"/>
      <c r="AD758" s="17"/>
    </row>
    <row r="759" spans="2:30" s="3" customFormat="1" ht="13.5" x14ac:dyDescent="0.25">
      <c r="B759" s="10" t="s">
        <v>1313</v>
      </c>
      <c r="C759" s="25" t="s">
        <v>1314</v>
      </c>
      <c r="D759" s="16"/>
      <c r="E759" s="12" t="str">
        <f>VLOOKUP(B759,'[1]ART 2 A)'!A:E,5,FALSE)</f>
        <v>Ex.</v>
      </c>
      <c r="F759" s="12"/>
      <c r="G759" s="12"/>
      <c r="H759" s="12"/>
      <c r="I759" s="12"/>
      <c r="J759" s="12"/>
      <c r="K759" s="12"/>
      <c r="L759" s="12"/>
      <c r="M759" s="12"/>
      <c r="N759" s="12"/>
      <c r="O759" s="12"/>
      <c r="P759" s="12"/>
      <c r="Q759" s="12"/>
      <c r="R759" s="12"/>
      <c r="S759" s="12" t="s">
        <v>1562</v>
      </c>
      <c r="T759" s="12"/>
      <c r="U759" s="12"/>
      <c r="V759" s="12"/>
      <c r="W759" s="12"/>
      <c r="X759" s="12"/>
      <c r="Y759" s="12"/>
      <c r="Z759" s="12"/>
      <c r="AA759" s="12"/>
      <c r="AB759" s="12"/>
      <c r="AC759" s="12"/>
      <c r="AD759" s="17"/>
    </row>
    <row r="760" spans="2:30" s="3" customFormat="1" ht="121.5" x14ac:dyDescent="0.25">
      <c r="B760" s="10" t="s">
        <v>1315</v>
      </c>
      <c r="C760" s="25" t="s">
        <v>1316</v>
      </c>
      <c r="D760" s="16" t="str">
        <f>VLOOKUP(B760,'[1]ART 1'!A:E,5,FALSE)</f>
        <v>5</v>
      </c>
      <c r="E760" s="12" t="str">
        <f>VLOOKUP(B760,'[1]ART 2 A)'!A:E,5,FALSE)</f>
        <v>Ex.</v>
      </c>
      <c r="F760" s="12"/>
      <c r="G760" s="12"/>
      <c r="H760" s="12"/>
      <c r="I760" s="12"/>
      <c r="J760" s="12"/>
      <c r="K760" s="12" t="str">
        <f>VLOOKUP(B760,'[1]ART 7'!A:E,5,FALSE)</f>
        <v xml:space="preserve">5 </v>
      </c>
      <c r="L760" s="12"/>
      <c r="M760" s="12"/>
      <c r="N760" s="12" t="s">
        <v>1721</v>
      </c>
      <c r="O760" s="12" t="s">
        <v>1570</v>
      </c>
      <c r="P760" s="12"/>
      <c r="Q760" s="12" t="s">
        <v>1721</v>
      </c>
      <c r="R760" s="12"/>
      <c r="S760" s="12" t="s">
        <v>1562</v>
      </c>
      <c r="T760" s="12"/>
      <c r="U760" s="12"/>
      <c r="V760" s="12"/>
      <c r="W760" s="12"/>
      <c r="X760" s="12" t="s">
        <v>1562</v>
      </c>
      <c r="Y760" s="12" t="s">
        <v>1722</v>
      </c>
      <c r="Z760" s="12"/>
      <c r="AA760" s="12"/>
      <c r="AB760" s="12"/>
      <c r="AC760" s="12"/>
      <c r="AD760" s="17"/>
    </row>
    <row r="761" spans="2:30" s="3" customFormat="1" ht="67.5" x14ac:dyDescent="0.25">
      <c r="B761" s="10" t="s">
        <v>1317</v>
      </c>
      <c r="C761" s="25" t="s">
        <v>1318</v>
      </c>
      <c r="D761" s="16"/>
      <c r="E761" s="12" t="str">
        <f>VLOOKUP(B761,'[1]ART 2 A)'!A:E,5,FALSE)</f>
        <v>Ex.</v>
      </c>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7"/>
    </row>
    <row r="762" spans="2:30" s="3" customFormat="1" ht="13.5" x14ac:dyDescent="0.25">
      <c r="B762" s="10" t="s">
        <v>1319</v>
      </c>
      <c r="C762" s="25" t="s">
        <v>53</v>
      </c>
      <c r="D762" s="16" t="str">
        <f>VLOOKUP(B762,'[1]ART 1'!A:E,5,FALSE)</f>
        <v>5</v>
      </c>
      <c r="E762" s="12" t="str">
        <f>VLOOKUP(B762,'[1]ART 2 A)'!A:E,5,FALSE)</f>
        <v>Ex.</v>
      </c>
      <c r="F762" s="12"/>
      <c r="G762" s="12"/>
      <c r="H762" s="12"/>
      <c r="I762" s="12"/>
      <c r="J762" s="12"/>
      <c r="K762" s="12"/>
      <c r="L762" s="12"/>
      <c r="M762" s="12"/>
      <c r="N762" s="12"/>
      <c r="O762" s="12"/>
      <c r="P762" s="12"/>
      <c r="Q762" s="12"/>
      <c r="R762" s="12"/>
      <c r="S762" s="12" t="s">
        <v>1562</v>
      </c>
      <c r="T762" s="12"/>
      <c r="U762" s="12"/>
      <c r="V762" s="12"/>
      <c r="W762" s="12"/>
      <c r="X762" s="12"/>
      <c r="Y762" s="12"/>
      <c r="Z762" s="12"/>
      <c r="AA762" s="12"/>
      <c r="AB762" s="12"/>
      <c r="AC762" s="12"/>
      <c r="AD762" s="17"/>
    </row>
    <row r="763" spans="2:30" s="3" customFormat="1" ht="81" x14ac:dyDescent="0.25">
      <c r="B763" s="10" t="s">
        <v>1320</v>
      </c>
      <c r="C763" s="25" t="s">
        <v>1321</v>
      </c>
      <c r="D763" s="16" t="str">
        <f>VLOOKUP(B763,'[1]ART 1'!A:E,5,FALSE)</f>
        <v>5</v>
      </c>
      <c r="E763" s="12" t="str">
        <f>VLOOKUP(B763,'[1]ART 2 A)'!A:E,5,FALSE)</f>
        <v>Ex.</v>
      </c>
      <c r="F763" s="12"/>
      <c r="G763" s="12"/>
      <c r="H763" s="12"/>
      <c r="I763" s="12"/>
      <c r="J763" s="12"/>
      <c r="K763" s="12"/>
      <c r="L763" s="12"/>
      <c r="M763" s="12"/>
      <c r="N763" s="12"/>
      <c r="O763" s="12"/>
      <c r="P763" s="12"/>
      <c r="Q763" s="12"/>
      <c r="R763" s="12"/>
      <c r="S763" s="12"/>
      <c r="T763" s="12"/>
      <c r="U763" s="12"/>
      <c r="V763" s="12"/>
      <c r="W763" s="12"/>
      <c r="X763" s="12" t="s">
        <v>1562</v>
      </c>
      <c r="Y763" s="12"/>
      <c r="Z763" s="12"/>
      <c r="AA763" s="12"/>
      <c r="AB763" s="12"/>
      <c r="AC763" s="12"/>
      <c r="AD763" s="17"/>
    </row>
    <row r="764" spans="2:30" s="3" customFormat="1" ht="27" x14ac:dyDescent="0.25">
      <c r="B764" s="10" t="s">
        <v>1322</v>
      </c>
      <c r="C764" s="25" t="s">
        <v>1323</v>
      </c>
      <c r="D764" s="16" t="str">
        <f>VLOOKUP(B764,'[1]ART 1'!A:E,5,FALSE)</f>
        <v>5</v>
      </c>
      <c r="E764" s="12" t="str">
        <f>VLOOKUP(B764,'[1]ART 2 A)'!A:E,5,FALSE)</f>
        <v>Ex.</v>
      </c>
      <c r="F764" s="12"/>
      <c r="G764" s="12" t="str">
        <f>VLOOKUP(B764,'[1]ART 3'!A:E,5,FALSE)</f>
        <v xml:space="preserve">Ex. </v>
      </c>
      <c r="H764" s="12" t="str">
        <f>VLOOKUP(B764,'[1]ART IV'!A:E,5,FALSE)</f>
        <v xml:space="preserve">Ex. </v>
      </c>
      <c r="I764" s="12"/>
      <c r="J764" s="12"/>
      <c r="K764" s="12" t="str">
        <f>VLOOKUP(B764,'[1]ART 7'!A:E,5,FALSE)</f>
        <v xml:space="preserve">5 </v>
      </c>
      <c r="L764" s="12"/>
      <c r="M764" s="12"/>
      <c r="N764" s="12"/>
      <c r="O764" s="12"/>
      <c r="P764" s="12"/>
      <c r="Q764" s="12"/>
      <c r="R764" s="12"/>
      <c r="S764" s="12"/>
      <c r="T764" s="12"/>
      <c r="U764" s="12"/>
      <c r="V764" s="12"/>
      <c r="W764" s="12"/>
      <c r="X764" s="12" t="s">
        <v>1562</v>
      </c>
      <c r="Y764" s="12"/>
      <c r="Z764" s="12"/>
      <c r="AA764" s="12"/>
      <c r="AB764" s="12"/>
      <c r="AC764" s="12"/>
      <c r="AD764" s="17"/>
    </row>
    <row r="765" spans="2:30" s="3" customFormat="1" ht="13.5" x14ac:dyDescent="0.25">
      <c r="B765" s="10" t="s">
        <v>1324</v>
      </c>
      <c r="C765" s="25" t="s">
        <v>53</v>
      </c>
      <c r="D765" s="16"/>
      <c r="E765" s="12" t="str">
        <f>VLOOKUP(B765,'[1]ART 2 A)'!A:E,5,FALSE)</f>
        <v>Ex.</v>
      </c>
      <c r="F765" s="12"/>
      <c r="G765" s="12"/>
      <c r="H765" s="12"/>
      <c r="I765" s="12"/>
      <c r="J765" s="12"/>
      <c r="K765" s="12"/>
      <c r="L765" s="12"/>
      <c r="M765" s="12"/>
      <c r="N765" s="12"/>
      <c r="O765" s="12"/>
      <c r="P765" s="12"/>
      <c r="Q765" s="12"/>
      <c r="R765" s="12"/>
      <c r="S765" s="12" t="s">
        <v>1562</v>
      </c>
      <c r="T765" s="12"/>
      <c r="U765" s="12"/>
      <c r="V765" s="12"/>
      <c r="W765" s="12"/>
      <c r="X765" s="12" t="s">
        <v>1562</v>
      </c>
      <c r="Y765" s="12"/>
      <c r="Z765" s="12"/>
      <c r="AA765" s="12"/>
      <c r="AB765" s="12"/>
      <c r="AC765" s="12"/>
      <c r="AD765" s="17"/>
    </row>
    <row r="766" spans="2:30" s="3" customFormat="1" ht="13.5" x14ac:dyDescent="0.25">
      <c r="B766" s="10" t="s">
        <v>1325</v>
      </c>
      <c r="C766" s="25" t="s">
        <v>1326</v>
      </c>
      <c r="D766" s="16"/>
      <c r="E766" s="12" t="str">
        <f>VLOOKUP(B766,'[1]ART 2 A)'!A:E,5,FALSE)</f>
        <v>Ex.</v>
      </c>
      <c r="F766" s="12"/>
      <c r="G766" s="12"/>
      <c r="H766" s="12"/>
      <c r="I766" s="12"/>
      <c r="J766" s="12"/>
      <c r="K766" s="12"/>
      <c r="L766" s="12"/>
      <c r="M766" s="12" t="str">
        <f>VLOOKUP(B766,'[1]ART 9'!A:E,5,FALSE)</f>
        <v xml:space="preserve">Ex. </v>
      </c>
      <c r="N766" s="12"/>
      <c r="O766" s="12"/>
      <c r="P766" s="12"/>
      <c r="Q766" s="12"/>
      <c r="R766" s="12"/>
      <c r="S766" s="12"/>
      <c r="T766" s="12"/>
      <c r="U766" s="12"/>
      <c r="V766" s="12"/>
      <c r="W766" s="12"/>
      <c r="X766" s="12" t="s">
        <v>1562</v>
      </c>
      <c r="Y766" s="12"/>
      <c r="Z766" s="12"/>
      <c r="AA766" s="12"/>
      <c r="AB766" s="12"/>
      <c r="AC766" s="12"/>
      <c r="AD766" s="17"/>
    </row>
    <row r="767" spans="2:30" s="3" customFormat="1" ht="27" x14ac:dyDescent="0.25">
      <c r="B767" s="10" t="s">
        <v>1327</v>
      </c>
      <c r="C767" s="25" t="s">
        <v>1328</v>
      </c>
      <c r="D767" s="16"/>
      <c r="E767" s="12" t="str">
        <f>VLOOKUP(B767,'[1]ART 2 A)'!A:E,5,FALSE)</f>
        <v>Ex.</v>
      </c>
      <c r="F767" s="12"/>
      <c r="G767" s="12"/>
      <c r="H767" s="12"/>
      <c r="I767" s="12"/>
      <c r="J767" s="12"/>
      <c r="K767" s="12"/>
      <c r="L767" s="12"/>
      <c r="M767" s="12"/>
      <c r="N767" s="12"/>
      <c r="O767" s="12"/>
      <c r="P767" s="12"/>
      <c r="Q767" s="12"/>
      <c r="R767" s="12"/>
      <c r="S767" s="12"/>
      <c r="T767" s="12"/>
      <c r="U767" s="12"/>
      <c r="V767" s="12"/>
      <c r="W767" s="12"/>
      <c r="X767" s="12" t="s">
        <v>1562</v>
      </c>
      <c r="Y767" s="12"/>
      <c r="Z767" s="12"/>
      <c r="AA767" s="12"/>
      <c r="AB767" s="12"/>
      <c r="AC767" s="12"/>
      <c r="AD767" s="17"/>
    </row>
    <row r="768" spans="2:30" s="3" customFormat="1" ht="40.5" x14ac:dyDescent="0.25">
      <c r="B768" s="10" t="s">
        <v>1329</v>
      </c>
      <c r="C768" s="25" t="s">
        <v>1330</v>
      </c>
      <c r="D768" s="16"/>
      <c r="E768" s="12" t="str">
        <f>VLOOKUP(B768,'[1]ART 2 A)'!A:E,5,FALSE)</f>
        <v>Ex.</v>
      </c>
      <c r="F768" s="12"/>
      <c r="G768" s="12"/>
      <c r="H768" s="12"/>
      <c r="I768" s="12"/>
      <c r="J768" s="12"/>
      <c r="K768" s="12"/>
      <c r="L768" s="12"/>
      <c r="M768" s="12"/>
      <c r="N768" s="12"/>
      <c r="O768" s="12"/>
      <c r="P768" s="12"/>
      <c r="Q768" s="12"/>
      <c r="R768" s="12"/>
      <c r="S768" s="12"/>
      <c r="T768" s="12"/>
      <c r="U768" s="12"/>
      <c r="V768" s="12"/>
      <c r="W768" s="12"/>
      <c r="X768" s="12" t="s">
        <v>1562</v>
      </c>
      <c r="Y768" s="12"/>
      <c r="Z768" s="12"/>
      <c r="AA768" s="12"/>
      <c r="AB768" s="12"/>
      <c r="AC768" s="12"/>
      <c r="AD768" s="17"/>
    </row>
    <row r="769" spans="2:30" s="3" customFormat="1" ht="27" x14ac:dyDescent="0.25">
      <c r="B769" s="10" t="s">
        <v>1331</v>
      </c>
      <c r="C769" s="25" t="s">
        <v>1332</v>
      </c>
      <c r="D769" s="16" t="str">
        <f>VLOOKUP(B769,'[1]ART 1'!A:E,5,FALSE)</f>
        <v>5</v>
      </c>
      <c r="E769" s="12" t="str">
        <f>VLOOKUP(B769,'[1]ART 2 A)'!A:E,5,FALSE)</f>
        <v>Ex.</v>
      </c>
      <c r="F769" s="12"/>
      <c r="G769" s="12"/>
      <c r="H769" s="12"/>
      <c r="I769" s="12"/>
      <c r="J769" s="12"/>
      <c r="K769" s="12"/>
      <c r="L769" s="12"/>
      <c r="M769" s="12"/>
      <c r="N769" s="12"/>
      <c r="O769" s="12"/>
      <c r="P769" s="12"/>
      <c r="Q769" s="12"/>
      <c r="R769" s="12"/>
      <c r="S769" s="12"/>
      <c r="T769" s="12"/>
      <c r="U769" s="12"/>
      <c r="V769" s="12"/>
      <c r="W769" s="12"/>
      <c r="X769" s="12" t="s">
        <v>1562</v>
      </c>
      <c r="Y769" s="12"/>
      <c r="Z769" s="12"/>
      <c r="AA769" s="12"/>
      <c r="AB769" s="12"/>
      <c r="AC769" s="12"/>
      <c r="AD769" s="17"/>
    </row>
    <row r="770" spans="2:30" s="3" customFormat="1" ht="40.5" x14ac:dyDescent="0.25">
      <c r="B770" s="10" t="s">
        <v>1333</v>
      </c>
      <c r="C770" s="25" t="s">
        <v>1334</v>
      </c>
      <c r="D770" s="16"/>
      <c r="E770" s="12" t="str">
        <f>VLOOKUP(B770,'[1]ART 2 A)'!A:E,5,FALSE)</f>
        <v>Ex.</v>
      </c>
      <c r="F770" s="12"/>
      <c r="G770" s="12"/>
      <c r="H770" s="12"/>
      <c r="I770" s="12"/>
      <c r="J770" s="12"/>
      <c r="K770" s="12"/>
      <c r="L770" s="12"/>
      <c r="M770" s="12"/>
      <c r="N770" s="12"/>
      <c r="O770" s="12"/>
      <c r="P770" s="12"/>
      <c r="Q770" s="12"/>
      <c r="R770" s="12"/>
      <c r="S770" s="12"/>
      <c r="T770" s="12"/>
      <c r="U770" s="12"/>
      <c r="V770" s="12"/>
      <c r="W770" s="12"/>
      <c r="X770" s="12" t="s">
        <v>1562</v>
      </c>
      <c r="Y770" s="12"/>
      <c r="Z770" s="12"/>
      <c r="AA770" s="12"/>
      <c r="AB770" s="12"/>
      <c r="AC770" s="12"/>
      <c r="AD770" s="17"/>
    </row>
    <row r="771" spans="2:30" s="3" customFormat="1" ht="13.5" x14ac:dyDescent="0.25">
      <c r="B771" s="10" t="s">
        <v>1335</v>
      </c>
      <c r="C771" s="25" t="s">
        <v>53</v>
      </c>
      <c r="D771" s="16"/>
      <c r="E771" s="12" t="str">
        <f>VLOOKUP(B771,'[1]ART 2 A)'!A:E,5,FALSE)</f>
        <v>Ex.</v>
      </c>
      <c r="F771" s="12"/>
      <c r="G771" s="12"/>
      <c r="H771" s="12" t="str">
        <f>VLOOKUP(B771,'[1]ART IV'!A:E,5,FALSE)</f>
        <v xml:space="preserve">Ex. </v>
      </c>
      <c r="I771" s="12"/>
      <c r="J771" s="12"/>
      <c r="K771" s="12"/>
      <c r="L771" s="12"/>
      <c r="M771" s="12"/>
      <c r="N771" s="12"/>
      <c r="O771" s="12"/>
      <c r="P771" s="12"/>
      <c r="Q771" s="12"/>
      <c r="R771" s="12"/>
      <c r="S771" s="12" t="s">
        <v>1562</v>
      </c>
      <c r="T771" s="12"/>
      <c r="U771" s="12"/>
      <c r="V771" s="12"/>
      <c r="W771" s="12"/>
      <c r="X771" s="12" t="s">
        <v>1562</v>
      </c>
      <c r="Y771" s="12"/>
      <c r="Z771" s="12"/>
      <c r="AA771" s="12"/>
      <c r="AB771" s="12"/>
      <c r="AC771" s="12"/>
      <c r="AD771" s="17"/>
    </row>
    <row r="772" spans="2:30" s="3" customFormat="1" ht="13.5" x14ac:dyDescent="0.25">
      <c r="B772" s="10" t="s">
        <v>1336</v>
      </c>
      <c r="C772" s="25" t="s">
        <v>53</v>
      </c>
      <c r="D772" s="16" t="str">
        <f>VLOOKUP(B772,'[1]ART 1'!A:E,5,FALSE)</f>
        <v>5</v>
      </c>
      <c r="E772" s="12" t="str">
        <f>VLOOKUP(B772,'[1]ART 2 A)'!A:E,5,FALSE)</f>
        <v>Ex.</v>
      </c>
      <c r="F772" s="12"/>
      <c r="G772" s="12"/>
      <c r="H772" s="12"/>
      <c r="I772" s="12"/>
      <c r="J772" s="12"/>
      <c r="K772" s="12"/>
      <c r="L772" s="12"/>
      <c r="M772" s="12"/>
      <c r="N772" s="12"/>
      <c r="O772" s="12"/>
      <c r="P772" s="12"/>
      <c r="Q772" s="12"/>
      <c r="R772" s="12"/>
      <c r="S772" s="12"/>
      <c r="T772" s="12"/>
      <c r="U772" s="12"/>
      <c r="V772" s="12"/>
      <c r="W772" s="12"/>
      <c r="X772" s="12" t="s">
        <v>1562</v>
      </c>
      <c r="Y772" s="12"/>
      <c r="Z772" s="12"/>
      <c r="AA772" s="12"/>
      <c r="AB772" s="12"/>
      <c r="AC772" s="12"/>
      <c r="AD772" s="17"/>
    </row>
    <row r="773" spans="2:30" s="3" customFormat="1" ht="13.5" x14ac:dyDescent="0.25">
      <c r="B773" s="10" t="s">
        <v>1337</v>
      </c>
      <c r="C773" s="25" t="s">
        <v>157</v>
      </c>
      <c r="D773" s="16"/>
      <c r="E773" s="12" t="str">
        <f>VLOOKUP(B773,'[1]ART 2 A)'!A:E,5,FALSE)</f>
        <v>Ex.</v>
      </c>
      <c r="F773" s="12"/>
      <c r="G773" s="12"/>
      <c r="H773" s="12"/>
      <c r="I773" s="12"/>
      <c r="J773" s="12"/>
      <c r="K773" s="12"/>
      <c r="L773" s="12"/>
      <c r="M773" s="12"/>
      <c r="N773" s="12"/>
      <c r="O773" s="12"/>
      <c r="P773" s="12"/>
      <c r="Q773" s="12"/>
      <c r="R773" s="12"/>
      <c r="S773" s="12" t="s">
        <v>1562</v>
      </c>
      <c r="T773" s="12"/>
      <c r="U773" s="12"/>
      <c r="V773" s="12"/>
      <c r="W773" s="12"/>
      <c r="X773" s="12" t="s">
        <v>1562</v>
      </c>
      <c r="Y773" s="12"/>
      <c r="Z773" s="12"/>
      <c r="AA773" s="12"/>
      <c r="AB773" s="12"/>
      <c r="AC773" s="12"/>
      <c r="AD773" s="17"/>
    </row>
    <row r="774" spans="2:30" s="3" customFormat="1" ht="13.5" x14ac:dyDescent="0.25">
      <c r="B774" s="10" t="s">
        <v>1338</v>
      </c>
      <c r="C774" s="25" t="s">
        <v>53</v>
      </c>
      <c r="D774" s="16" t="str">
        <f>VLOOKUP(B774,'[1]ART 1'!A:E,5,FALSE)</f>
        <v>5</v>
      </c>
      <c r="E774" s="12" t="str">
        <f>VLOOKUP(B774,'[1]ART 2 A)'!A:E,5,FALSE)</f>
        <v>Ex.</v>
      </c>
      <c r="F774" s="12"/>
      <c r="G774" s="12"/>
      <c r="H774" s="12"/>
      <c r="I774" s="12"/>
      <c r="J774" s="12"/>
      <c r="K774" s="12"/>
      <c r="L774" s="12" t="str">
        <f>VLOOKUP(B774,'[1]ART 8'!A:E,5,FALSE)</f>
        <v xml:space="preserve">Ex. </v>
      </c>
      <c r="M774" s="12"/>
      <c r="N774" s="12"/>
      <c r="O774" s="12"/>
      <c r="P774" s="12"/>
      <c r="Q774" s="12"/>
      <c r="R774" s="12"/>
      <c r="S774" s="12"/>
      <c r="T774" s="12"/>
      <c r="U774" s="12"/>
      <c r="V774" s="12"/>
      <c r="W774" s="12"/>
      <c r="X774" s="12" t="s">
        <v>1562</v>
      </c>
      <c r="Y774" s="12"/>
      <c r="Z774" s="12"/>
      <c r="AA774" s="12"/>
      <c r="AB774" s="12"/>
      <c r="AC774" s="12"/>
      <c r="AD774" s="17"/>
    </row>
    <row r="775" spans="2:30" s="3" customFormat="1" ht="81" x14ac:dyDescent="0.25">
      <c r="B775" s="10" t="s">
        <v>1339</v>
      </c>
      <c r="C775" s="25" t="s">
        <v>53</v>
      </c>
      <c r="D775" s="16"/>
      <c r="E775" s="12"/>
      <c r="F775" s="12"/>
      <c r="G775" s="12"/>
      <c r="H775" s="12"/>
      <c r="I775" s="12"/>
      <c r="J775" s="12"/>
      <c r="K775" s="12"/>
      <c r="L775" s="12"/>
      <c r="M775" s="12"/>
      <c r="N775" s="12"/>
      <c r="O775" s="12"/>
      <c r="P775" s="12"/>
      <c r="Q775" s="12"/>
      <c r="R775" s="12"/>
      <c r="S775" s="12"/>
      <c r="T775" s="12"/>
      <c r="U775" s="12"/>
      <c r="V775" s="12"/>
      <c r="W775" s="12"/>
      <c r="X775" s="12" t="s">
        <v>1723</v>
      </c>
      <c r="Y775" s="12"/>
      <c r="Z775" s="12"/>
      <c r="AA775" s="12"/>
      <c r="AB775" s="12"/>
      <c r="AC775" s="12"/>
      <c r="AD775" s="17"/>
    </row>
    <row r="776" spans="2:30" s="3" customFormat="1" ht="13.5" x14ac:dyDescent="0.25">
      <c r="B776" s="10" t="s">
        <v>1340</v>
      </c>
      <c r="C776" s="25" t="s">
        <v>1341</v>
      </c>
      <c r="D776" s="16" t="str">
        <f>VLOOKUP(B776,'[1]ART 1'!A:E,5,FALSE)</f>
        <v>Ex.</v>
      </c>
      <c r="E776" s="12" t="str">
        <f>VLOOKUP(B776,'[1]ART 2 A)'!A:E,5,FALSE)</f>
        <v>Ex.</v>
      </c>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7"/>
    </row>
    <row r="777" spans="2:30" s="3" customFormat="1" ht="13.5" x14ac:dyDescent="0.25">
      <c r="B777" s="10" t="s">
        <v>1342</v>
      </c>
      <c r="C777" s="25" t="s">
        <v>1343</v>
      </c>
      <c r="D777" s="16" t="str">
        <f>VLOOKUP(B777,'[1]ART 1'!A:E,5,FALSE)</f>
        <v>2.5</v>
      </c>
      <c r="E777" s="12" t="str">
        <f>VLOOKUP(B777,'[1]ART 2 A)'!A:E,5,FALSE)</f>
        <v>Ex.</v>
      </c>
      <c r="F777" s="12"/>
      <c r="G777" s="12"/>
      <c r="H777" s="12"/>
      <c r="I777" s="12"/>
      <c r="J777" s="12"/>
      <c r="K777" s="12"/>
      <c r="L777" s="12"/>
      <c r="M777" s="12"/>
      <c r="N777" s="12"/>
      <c r="O777" s="12"/>
      <c r="P777" s="12"/>
      <c r="Q777" s="12"/>
      <c r="R777" s="12"/>
      <c r="S777" s="12"/>
      <c r="T777" s="12"/>
      <c r="U777" s="12"/>
      <c r="V777" s="12"/>
      <c r="W777" s="12"/>
      <c r="X777" s="12" t="s">
        <v>1562</v>
      </c>
      <c r="Y777" s="12"/>
      <c r="Z777" s="12"/>
      <c r="AA777" s="12"/>
      <c r="AB777" s="12"/>
      <c r="AC777" s="12"/>
      <c r="AD777" s="17"/>
    </row>
    <row r="778" spans="2:30" s="3" customFormat="1" ht="159.75" customHeight="1" x14ac:dyDescent="0.25">
      <c r="B778" s="10" t="s">
        <v>1344</v>
      </c>
      <c r="C778" s="25" t="s">
        <v>1345</v>
      </c>
      <c r="D778" s="16"/>
      <c r="E778" s="12" t="str">
        <f>VLOOKUP(B778,'[1]ART 2 A)'!A:E,5,FALSE)</f>
        <v>Ex.</v>
      </c>
      <c r="F778" s="12"/>
      <c r="G778" s="12"/>
      <c r="H778" s="12"/>
      <c r="I778" s="12"/>
      <c r="J778" s="12"/>
      <c r="K778" s="12"/>
      <c r="L778" s="12"/>
      <c r="M778" s="12"/>
      <c r="N778" s="12"/>
      <c r="O778" s="12"/>
      <c r="P778" s="12"/>
      <c r="Q778" s="12"/>
      <c r="R778" s="12"/>
      <c r="S778" s="12"/>
      <c r="T778" s="12"/>
      <c r="U778" s="12"/>
      <c r="V778" s="12"/>
      <c r="W778" s="12"/>
      <c r="X778" s="12" t="s">
        <v>1724</v>
      </c>
      <c r="Y778" s="12"/>
      <c r="Z778" s="12"/>
      <c r="AA778" s="12"/>
      <c r="AB778" s="12"/>
      <c r="AC778" s="12"/>
      <c r="AD778" s="17"/>
    </row>
    <row r="779" spans="2:30" s="3" customFormat="1" ht="94.5" x14ac:dyDescent="0.25">
      <c r="B779" s="10" t="s">
        <v>1346</v>
      </c>
      <c r="C779" s="25" t="s">
        <v>1347</v>
      </c>
      <c r="D779" s="16"/>
      <c r="E779" s="12" t="str">
        <f>VLOOKUP(B779,'[1]ART 2 A)'!A:E,5,FALSE)</f>
        <v>Ex.</v>
      </c>
      <c r="F779" s="12"/>
      <c r="G779" s="12"/>
      <c r="H779" s="12"/>
      <c r="I779" s="12"/>
      <c r="J779" s="12"/>
      <c r="K779" s="12"/>
      <c r="L779" s="12"/>
      <c r="M779" s="12"/>
      <c r="N779" s="12"/>
      <c r="O779" s="12"/>
      <c r="P779" s="12"/>
      <c r="Q779" s="12"/>
      <c r="R779" s="12"/>
      <c r="S779" s="12"/>
      <c r="T779" s="12"/>
      <c r="U779" s="12"/>
      <c r="V779" s="12"/>
      <c r="W779" s="12"/>
      <c r="X779" s="12" t="s">
        <v>1571</v>
      </c>
      <c r="Y779" s="12"/>
      <c r="Z779" s="12"/>
      <c r="AA779" s="12"/>
      <c r="AB779" s="12"/>
      <c r="AC779" s="12"/>
      <c r="AD779" s="17"/>
    </row>
    <row r="780" spans="2:30" s="3" customFormat="1" ht="13.5" x14ac:dyDescent="0.25">
      <c r="B780" s="10" t="s">
        <v>1348</v>
      </c>
      <c r="C780" s="25" t="s">
        <v>53</v>
      </c>
      <c r="D780" s="16"/>
      <c r="E780" s="12" t="str">
        <f>VLOOKUP(B780,'[1]ART 2 A)'!A:E,5,FALSE)</f>
        <v>Ex.</v>
      </c>
      <c r="F780" s="12"/>
      <c r="G780" s="12"/>
      <c r="H780" s="12"/>
      <c r="I780" s="12"/>
      <c r="J780" s="12"/>
      <c r="K780" s="12"/>
      <c r="L780" s="12"/>
      <c r="M780" s="12"/>
      <c r="N780" s="12"/>
      <c r="O780" s="12"/>
      <c r="P780" s="12"/>
      <c r="Q780" s="12"/>
      <c r="R780" s="12"/>
      <c r="S780" s="12" t="s">
        <v>1562</v>
      </c>
      <c r="T780" s="12" t="s">
        <v>1562</v>
      </c>
      <c r="U780" s="12"/>
      <c r="V780" s="12"/>
      <c r="W780" s="12"/>
      <c r="X780" s="12" t="s">
        <v>1562</v>
      </c>
      <c r="Y780" s="12"/>
      <c r="Z780" s="12"/>
      <c r="AA780" s="12"/>
      <c r="AB780" s="12"/>
      <c r="AC780" s="12"/>
      <c r="AD780" s="17"/>
    </row>
    <row r="781" spans="2:30" s="3" customFormat="1" ht="121.5" x14ac:dyDescent="0.25">
      <c r="B781" s="10" t="s">
        <v>1349</v>
      </c>
      <c r="C781" s="25" t="s">
        <v>1350</v>
      </c>
      <c r="D781" s="16"/>
      <c r="E781" s="12" t="str">
        <f>VLOOKUP(B781,'[1]ART 2 A)'!A:E,5,FALSE)</f>
        <v>Ex.Excepto: Arneses reconocibles como diseñados exclusivamente para uso automotriz.</v>
      </c>
      <c r="F781" s="12"/>
      <c r="G781" s="12"/>
      <c r="H781" s="12"/>
      <c r="I781" s="12"/>
      <c r="J781" s="12"/>
      <c r="K781" s="12"/>
      <c r="L781" s="12"/>
      <c r="M781" s="12" t="str">
        <f>VLOOKUP(B781,'[1]ART 9'!A:E,5,FALSE)</f>
        <v>Ex. Excepto: Arneses reconocibles como diseñados exclusivamente para uso automotriz.</v>
      </c>
      <c r="N781" s="12"/>
      <c r="O781" s="12"/>
      <c r="P781" s="12"/>
      <c r="Q781" s="12"/>
      <c r="R781" s="12"/>
      <c r="S781" s="12" t="s">
        <v>1725</v>
      </c>
      <c r="T781" s="12" t="s">
        <v>1725</v>
      </c>
      <c r="U781" s="12"/>
      <c r="V781" s="12"/>
      <c r="W781" s="12"/>
      <c r="X781" s="12" t="s">
        <v>1725</v>
      </c>
      <c r="Y781" s="12"/>
      <c r="Z781" s="12"/>
      <c r="AA781" s="12"/>
      <c r="AB781" s="12"/>
      <c r="AC781" s="12"/>
      <c r="AD781" s="17"/>
    </row>
    <row r="782" spans="2:30" s="3" customFormat="1" ht="409.5" x14ac:dyDescent="0.25">
      <c r="B782" s="10" t="s">
        <v>1351</v>
      </c>
      <c r="C782" s="25" t="s">
        <v>1352</v>
      </c>
      <c r="D782" s="16" t="str">
        <f>VLOOKUP(B782,'[1]ART 1'!A:E,5,FALSE)</f>
        <v>Ex.Únicamente: De cobre, aluminio o sus aleaciones.</v>
      </c>
      <c r="E782" s="12" t="str">
        <f>VLOOKUP(B782,'[1]ART 2 A)'!A:E,5,FALSE)</f>
        <v>Ex.</v>
      </c>
      <c r="F782" s="12"/>
      <c r="G782" s="12"/>
      <c r="H782" s="12"/>
      <c r="I782" s="12"/>
      <c r="J782" s="12"/>
      <c r="K782" s="12"/>
      <c r="L782" s="12"/>
      <c r="M782" s="12" t="str">
        <f>VLOOKUP(B782,'[1]ART 9'!A:E,5,FALSE)</f>
        <v>Ex. Excepto: Formas de cables cortados y atados (arneses), para la conexión de centrales telefónicas; cables termopar o sus cables de extensión; arneses y cables eléctricos, para conducción o distribución de corriente eléctrica en aparatos electrodomésticos o de medición.</v>
      </c>
      <c r="N782" s="12"/>
      <c r="O782" s="12"/>
      <c r="P782" s="12"/>
      <c r="Q782" s="12"/>
      <c r="R782" s="12"/>
      <c r="S782" s="12" t="s">
        <v>1726</v>
      </c>
      <c r="T782" s="12" t="s">
        <v>1727</v>
      </c>
      <c r="U782" s="12"/>
      <c r="V782" s="12"/>
      <c r="W782" s="12"/>
      <c r="X782" s="12" t="s">
        <v>1562</v>
      </c>
      <c r="Y782" s="12"/>
      <c r="Z782" s="12"/>
      <c r="AA782" s="12"/>
      <c r="AB782" s="12"/>
      <c r="AC782" s="12"/>
      <c r="AD782" s="17"/>
    </row>
    <row r="783" spans="2:30" s="3" customFormat="1" ht="108" x14ac:dyDescent="0.25">
      <c r="B783" s="10" t="s">
        <v>1353</v>
      </c>
      <c r="C783" s="25" t="s">
        <v>1352</v>
      </c>
      <c r="D783" s="16"/>
      <c r="E783" s="12" t="str">
        <f>VLOOKUP(B783,'[1]ART 2 A)'!A:E,5,FALSE)</f>
        <v>Ex.</v>
      </c>
      <c r="F783" s="12"/>
      <c r="G783" s="12"/>
      <c r="H783" s="12"/>
      <c r="I783" s="12"/>
      <c r="J783" s="12"/>
      <c r="K783" s="12"/>
      <c r="L783" s="12"/>
      <c r="M783" s="12"/>
      <c r="N783" s="12"/>
      <c r="O783" s="12"/>
      <c r="P783" s="12"/>
      <c r="Q783" s="12"/>
      <c r="R783" s="12"/>
      <c r="S783" s="12" t="s">
        <v>1726</v>
      </c>
      <c r="T783" s="12"/>
      <c r="U783" s="12"/>
      <c r="V783" s="12"/>
      <c r="W783" s="12"/>
      <c r="X783" s="12" t="s">
        <v>1728</v>
      </c>
      <c r="Y783" s="12"/>
      <c r="Z783" s="12"/>
      <c r="AA783" s="12"/>
      <c r="AB783" s="12"/>
      <c r="AC783" s="12"/>
      <c r="AD783" s="17"/>
    </row>
    <row r="784" spans="2:30" s="3" customFormat="1" ht="13.5" x14ac:dyDescent="0.25">
      <c r="B784" s="10" t="s">
        <v>1354</v>
      </c>
      <c r="C784" s="25" t="s">
        <v>1355</v>
      </c>
      <c r="D784" s="16"/>
      <c r="E784" s="12" t="str">
        <f>VLOOKUP(B784,'[1]ART 2 A)'!A:E,5,FALSE)</f>
        <v>Ex.</v>
      </c>
      <c r="F784" s="12"/>
      <c r="G784" s="12"/>
      <c r="H784" s="12"/>
      <c r="I784" s="12"/>
      <c r="J784" s="12"/>
      <c r="K784" s="12"/>
      <c r="L784" s="12"/>
      <c r="M784" s="12"/>
      <c r="N784" s="12"/>
      <c r="O784" s="12"/>
      <c r="P784" s="12"/>
      <c r="Q784" s="12"/>
      <c r="R784" s="12"/>
      <c r="S784" s="12"/>
      <c r="T784" s="12"/>
      <c r="U784" s="12"/>
      <c r="V784" s="12"/>
      <c r="W784" s="12"/>
      <c r="X784" s="12" t="s">
        <v>1562</v>
      </c>
      <c r="Y784" s="12"/>
      <c r="Z784" s="12"/>
      <c r="AA784" s="12"/>
      <c r="AB784" s="12"/>
      <c r="AC784" s="12"/>
      <c r="AD784" s="17"/>
    </row>
    <row r="785" spans="2:30" s="3" customFormat="1" ht="13.5" x14ac:dyDescent="0.25">
      <c r="B785" s="10" t="s">
        <v>1356</v>
      </c>
      <c r="C785" s="25" t="s">
        <v>53</v>
      </c>
      <c r="D785" s="16"/>
      <c r="E785" s="12" t="str">
        <f>VLOOKUP(B785,'[1]ART 2 A)'!A:E,5,FALSE)</f>
        <v>Ex.</v>
      </c>
      <c r="F785" s="12"/>
      <c r="G785" s="12"/>
      <c r="H785" s="12"/>
      <c r="I785" s="12"/>
      <c r="J785" s="12"/>
      <c r="K785" s="12"/>
      <c r="L785" s="12"/>
      <c r="M785" s="12"/>
      <c r="N785" s="12"/>
      <c r="O785" s="12"/>
      <c r="P785" s="12"/>
      <c r="Q785" s="12"/>
      <c r="R785" s="12"/>
      <c r="S785" s="12"/>
      <c r="T785" s="12"/>
      <c r="U785" s="12"/>
      <c r="V785" s="12"/>
      <c r="W785" s="12"/>
      <c r="X785" s="12" t="s">
        <v>1562</v>
      </c>
      <c r="Y785" s="12"/>
      <c r="Z785" s="12"/>
      <c r="AA785" s="12"/>
      <c r="AB785" s="12"/>
      <c r="AC785" s="12"/>
      <c r="AD785" s="17"/>
    </row>
    <row r="786" spans="2:30" s="3" customFormat="1" ht="13.5" x14ac:dyDescent="0.25">
      <c r="B786" s="10" t="s">
        <v>1357</v>
      </c>
      <c r="C786" s="25" t="s">
        <v>53</v>
      </c>
      <c r="D786" s="16"/>
      <c r="E786" s="12" t="str">
        <f>VLOOKUP(B786,'[1]ART 2 A)'!A:E,5,FALSE)</f>
        <v>Ex.</v>
      </c>
      <c r="F786" s="12"/>
      <c r="G786" s="12"/>
      <c r="H786" s="12"/>
      <c r="I786" s="12"/>
      <c r="J786" s="12"/>
      <c r="K786" s="12"/>
      <c r="L786" s="12"/>
      <c r="M786" s="12"/>
      <c r="N786" s="12"/>
      <c r="O786" s="12"/>
      <c r="P786" s="12"/>
      <c r="Q786" s="12"/>
      <c r="R786" s="12"/>
      <c r="S786" s="12"/>
      <c r="T786" s="12"/>
      <c r="U786" s="12"/>
      <c r="V786" s="12"/>
      <c r="W786" s="12"/>
      <c r="X786" s="12" t="s">
        <v>1562</v>
      </c>
      <c r="Y786" s="12"/>
      <c r="Z786" s="12"/>
      <c r="AA786" s="12"/>
      <c r="AB786" s="12"/>
      <c r="AC786" s="12"/>
      <c r="AD786" s="17"/>
    </row>
    <row r="787" spans="2:30" s="3" customFormat="1" ht="13.5" x14ac:dyDescent="0.25">
      <c r="B787" s="10" t="s">
        <v>1358</v>
      </c>
      <c r="C787" s="25" t="s">
        <v>53</v>
      </c>
      <c r="D787" s="16"/>
      <c r="E787" s="12" t="str">
        <f>VLOOKUP(B787,'[1]ART 2 A)'!A:E,5,FALSE)</f>
        <v>Ex.</v>
      </c>
      <c r="F787" s="12"/>
      <c r="G787" s="12"/>
      <c r="H787" s="12"/>
      <c r="I787" s="12"/>
      <c r="J787" s="12"/>
      <c r="K787" s="12"/>
      <c r="L787" s="12"/>
      <c r="M787" s="12"/>
      <c r="N787" s="12"/>
      <c r="O787" s="12"/>
      <c r="P787" s="12"/>
      <c r="Q787" s="12"/>
      <c r="R787" s="12"/>
      <c r="S787" s="12" t="s">
        <v>1562</v>
      </c>
      <c r="T787" s="12"/>
      <c r="U787" s="12"/>
      <c r="V787" s="12"/>
      <c r="W787" s="12"/>
      <c r="X787" s="12" t="s">
        <v>1562</v>
      </c>
      <c r="Y787" s="12"/>
      <c r="Z787" s="12"/>
      <c r="AA787" s="12"/>
      <c r="AB787" s="12"/>
      <c r="AC787" s="12"/>
      <c r="AD787" s="17"/>
    </row>
    <row r="788" spans="2:30" s="3" customFormat="1" ht="81" x14ac:dyDescent="0.25">
      <c r="B788" s="9" t="s">
        <v>1359</v>
      </c>
      <c r="C788" s="25" t="s">
        <v>1360</v>
      </c>
      <c r="D788" s="16"/>
      <c r="E788" s="12" t="str">
        <f>VLOOKUP(B788,'[1]ART 2 A)'!A:E,5,FALSE)</f>
        <v>Ex.</v>
      </c>
      <c r="F788" s="12"/>
      <c r="G788" s="12"/>
      <c r="H788" s="12"/>
      <c r="I788" s="12"/>
      <c r="J788" s="12"/>
      <c r="K788" s="12"/>
      <c r="L788" s="12"/>
      <c r="M788" s="12"/>
      <c r="N788" s="12"/>
      <c r="O788" s="12"/>
      <c r="P788" s="12"/>
      <c r="Q788" s="12"/>
      <c r="R788" s="12"/>
      <c r="S788" s="12"/>
      <c r="T788" s="12"/>
      <c r="U788" s="12"/>
      <c r="V788" s="12"/>
      <c r="W788" s="12"/>
      <c r="X788" s="12" t="s">
        <v>1562</v>
      </c>
      <c r="Y788" s="12"/>
      <c r="Z788" s="12"/>
      <c r="AA788" s="12"/>
      <c r="AB788" s="12"/>
      <c r="AC788" s="12"/>
      <c r="AD788" s="17"/>
    </row>
    <row r="789" spans="2:30" s="3" customFormat="1" ht="67.5" x14ac:dyDescent="0.25">
      <c r="B789" s="9" t="s">
        <v>1361</v>
      </c>
      <c r="C789" s="25" t="s">
        <v>53</v>
      </c>
      <c r="D789" s="16"/>
      <c r="E789" s="12"/>
      <c r="F789" s="12"/>
      <c r="G789" s="12"/>
      <c r="H789" s="12"/>
      <c r="I789" s="12"/>
      <c r="J789" s="12"/>
      <c r="K789" s="12"/>
      <c r="L789" s="12"/>
      <c r="M789" s="12"/>
      <c r="N789" s="12"/>
      <c r="O789" s="12"/>
      <c r="P789" s="12"/>
      <c r="Q789" s="12"/>
      <c r="R789" s="12"/>
      <c r="S789" s="12"/>
      <c r="T789" s="12"/>
      <c r="U789" s="12"/>
      <c r="V789" s="12"/>
      <c r="W789" s="12"/>
      <c r="X789" s="12" t="s">
        <v>1729</v>
      </c>
      <c r="Y789" s="12"/>
      <c r="Z789" s="12"/>
      <c r="AA789" s="12"/>
      <c r="AB789" s="12"/>
      <c r="AC789" s="12"/>
      <c r="AD789" s="17"/>
    </row>
    <row r="790" spans="2:30" s="3" customFormat="1" ht="54" x14ac:dyDescent="0.25">
      <c r="B790" s="9" t="s">
        <v>1362</v>
      </c>
      <c r="C790" s="25" t="s">
        <v>1363</v>
      </c>
      <c r="D790" s="16"/>
      <c r="E790" s="12"/>
      <c r="F790" s="12"/>
      <c r="G790" s="12"/>
      <c r="H790" s="12"/>
      <c r="I790" s="12"/>
      <c r="J790" s="12"/>
      <c r="K790" s="12"/>
      <c r="L790" s="12"/>
      <c r="M790" s="12"/>
      <c r="N790" s="12"/>
      <c r="O790" s="12"/>
      <c r="P790" s="12"/>
      <c r="Q790" s="12"/>
      <c r="R790" s="12"/>
      <c r="S790" s="12"/>
      <c r="T790" s="12"/>
      <c r="U790" s="12"/>
      <c r="V790" s="12"/>
      <c r="W790" s="12"/>
      <c r="X790" s="12" t="s">
        <v>1562</v>
      </c>
      <c r="Y790" s="12"/>
      <c r="Z790" s="12"/>
      <c r="AA790" s="12"/>
      <c r="AB790" s="12"/>
      <c r="AC790" s="12"/>
      <c r="AD790" s="17"/>
    </row>
    <row r="791" spans="2:30" s="3" customFormat="1" ht="13.5" x14ac:dyDescent="0.25">
      <c r="B791" s="9" t="s">
        <v>1364</v>
      </c>
      <c r="C791" s="25" t="s">
        <v>53</v>
      </c>
      <c r="D791" s="16"/>
      <c r="E791" s="12"/>
      <c r="F791" s="12"/>
      <c r="G791" s="12"/>
      <c r="H791" s="12"/>
      <c r="I791" s="12"/>
      <c r="J791" s="12"/>
      <c r="K791" s="12"/>
      <c r="L791" s="12"/>
      <c r="M791" s="12"/>
      <c r="N791" s="12"/>
      <c r="O791" s="12"/>
      <c r="P791" s="12"/>
      <c r="Q791" s="12"/>
      <c r="R791" s="12"/>
      <c r="S791" s="12"/>
      <c r="T791" s="12"/>
      <c r="U791" s="12"/>
      <c r="V791" s="12"/>
      <c r="W791" s="12"/>
      <c r="X791" s="12" t="s">
        <v>1571</v>
      </c>
      <c r="Y791" s="12"/>
      <c r="Z791" s="12"/>
      <c r="AA791" s="12"/>
      <c r="AB791" s="12"/>
      <c r="AC791" s="12"/>
      <c r="AD791" s="17"/>
    </row>
    <row r="792" spans="2:30" s="3" customFormat="1" ht="54" x14ac:dyDescent="0.25">
      <c r="B792" s="9" t="s">
        <v>1365</v>
      </c>
      <c r="C792" s="25" t="s">
        <v>1366</v>
      </c>
      <c r="D792" s="16"/>
      <c r="E792" s="12"/>
      <c r="F792" s="12"/>
      <c r="G792" s="12"/>
      <c r="H792" s="12"/>
      <c r="I792" s="12"/>
      <c r="J792" s="12"/>
      <c r="K792" s="12"/>
      <c r="L792" s="12"/>
      <c r="M792" s="12"/>
      <c r="N792" s="12"/>
      <c r="O792" s="12"/>
      <c r="P792" s="12"/>
      <c r="Q792" s="12"/>
      <c r="R792" s="12"/>
      <c r="S792" s="12"/>
      <c r="T792" s="12"/>
      <c r="U792" s="12"/>
      <c r="V792" s="12"/>
      <c r="W792" s="12"/>
      <c r="X792" s="12" t="s">
        <v>1562</v>
      </c>
      <c r="Y792" s="12"/>
      <c r="Z792" s="12"/>
      <c r="AA792" s="12"/>
      <c r="AB792" s="12"/>
      <c r="AC792" s="12"/>
      <c r="AD792" s="17"/>
    </row>
    <row r="793" spans="2:30" s="3" customFormat="1" ht="13.5" x14ac:dyDescent="0.25">
      <c r="B793" s="9" t="s">
        <v>1367</v>
      </c>
      <c r="C793" s="25" t="s">
        <v>1368</v>
      </c>
      <c r="D793" s="16"/>
      <c r="E793" s="12"/>
      <c r="F793" s="12"/>
      <c r="G793" s="12"/>
      <c r="H793" s="12"/>
      <c r="I793" s="12"/>
      <c r="J793" s="12"/>
      <c r="K793" s="12"/>
      <c r="L793" s="12"/>
      <c r="M793" s="12"/>
      <c r="N793" s="12"/>
      <c r="O793" s="12"/>
      <c r="P793" s="12"/>
      <c r="Q793" s="12"/>
      <c r="R793" s="12"/>
      <c r="S793" s="12"/>
      <c r="T793" s="12"/>
      <c r="U793" s="12"/>
      <c r="V793" s="12"/>
      <c r="W793" s="12"/>
      <c r="X793" s="12" t="s">
        <v>1562</v>
      </c>
      <c r="Y793" s="12"/>
      <c r="Z793" s="12"/>
      <c r="AA793" s="12"/>
      <c r="AB793" s="12"/>
      <c r="AC793" s="12"/>
      <c r="AD793" s="17"/>
    </row>
    <row r="794" spans="2:30" s="3" customFormat="1" ht="13.5" x14ac:dyDescent="0.25">
      <c r="B794" s="9" t="s">
        <v>1369</v>
      </c>
      <c r="C794" s="25" t="s">
        <v>1370</v>
      </c>
      <c r="D794" s="16"/>
      <c r="E794" s="12"/>
      <c r="F794" s="12"/>
      <c r="G794" s="12"/>
      <c r="H794" s="12"/>
      <c r="I794" s="12"/>
      <c r="J794" s="12"/>
      <c r="K794" s="12"/>
      <c r="L794" s="12"/>
      <c r="M794" s="12"/>
      <c r="N794" s="12"/>
      <c r="O794" s="12"/>
      <c r="P794" s="12"/>
      <c r="Q794" s="12"/>
      <c r="R794" s="12"/>
      <c r="S794" s="12"/>
      <c r="T794" s="12"/>
      <c r="U794" s="12"/>
      <c r="V794" s="12"/>
      <c r="W794" s="12"/>
      <c r="X794" s="12" t="s">
        <v>1562</v>
      </c>
      <c r="Y794" s="12"/>
      <c r="Z794" s="12"/>
      <c r="AA794" s="12"/>
      <c r="AB794" s="12"/>
      <c r="AC794" s="12"/>
      <c r="AD794" s="17"/>
    </row>
    <row r="795" spans="2:30" s="3" customFormat="1" ht="54" x14ac:dyDescent="0.25">
      <c r="B795" s="9" t="s">
        <v>1371</v>
      </c>
      <c r="C795" s="25" t="s">
        <v>1372</v>
      </c>
      <c r="D795" s="16"/>
      <c r="E795" s="12"/>
      <c r="F795" s="12"/>
      <c r="G795" s="12"/>
      <c r="H795" s="12"/>
      <c r="I795" s="12"/>
      <c r="J795" s="12"/>
      <c r="K795" s="12"/>
      <c r="L795" s="12"/>
      <c r="M795" s="12"/>
      <c r="N795" s="12"/>
      <c r="O795" s="12"/>
      <c r="P795" s="12"/>
      <c r="Q795" s="12"/>
      <c r="R795" s="12"/>
      <c r="S795" s="12"/>
      <c r="T795" s="12"/>
      <c r="U795" s="12"/>
      <c r="V795" s="12"/>
      <c r="W795" s="12"/>
      <c r="X795" s="12" t="s">
        <v>1571</v>
      </c>
      <c r="Y795" s="12"/>
      <c r="Z795" s="12"/>
      <c r="AA795" s="12"/>
      <c r="AB795" s="12"/>
      <c r="AC795" s="12"/>
      <c r="AD795" s="17"/>
    </row>
    <row r="796" spans="2:30" s="3" customFormat="1" ht="27" x14ac:dyDescent="0.25">
      <c r="B796" s="9" t="s">
        <v>1373</v>
      </c>
      <c r="C796" s="25" t="s">
        <v>1374</v>
      </c>
      <c r="D796" s="16"/>
      <c r="E796" s="12"/>
      <c r="F796" s="12"/>
      <c r="G796" s="12"/>
      <c r="H796" s="12"/>
      <c r="I796" s="12"/>
      <c r="J796" s="12"/>
      <c r="K796" s="12"/>
      <c r="L796" s="12"/>
      <c r="M796" s="12"/>
      <c r="N796" s="12"/>
      <c r="O796" s="12"/>
      <c r="P796" s="12"/>
      <c r="Q796" s="12"/>
      <c r="R796" s="12"/>
      <c r="S796" s="12"/>
      <c r="T796" s="12"/>
      <c r="U796" s="12"/>
      <c r="V796" s="12"/>
      <c r="W796" s="12"/>
      <c r="X796" s="12" t="s">
        <v>1562</v>
      </c>
      <c r="Y796" s="12"/>
      <c r="Z796" s="12"/>
      <c r="AA796" s="12"/>
      <c r="AB796" s="12"/>
      <c r="AC796" s="12"/>
      <c r="AD796" s="17"/>
    </row>
    <row r="797" spans="2:30" s="3" customFormat="1" ht="27" x14ac:dyDescent="0.25">
      <c r="B797" s="9" t="s">
        <v>1375</v>
      </c>
      <c r="C797" s="25" t="s">
        <v>1376</v>
      </c>
      <c r="D797" s="16"/>
      <c r="E797" s="12"/>
      <c r="F797" s="12"/>
      <c r="G797" s="12"/>
      <c r="H797" s="12"/>
      <c r="I797" s="12"/>
      <c r="J797" s="12"/>
      <c r="K797" s="12"/>
      <c r="L797" s="12"/>
      <c r="M797" s="12"/>
      <c r="N797" s="12"/>
      <c r="O797" s="12"/>
      <c r="P797" s="12"/>
      <c r="Q797" s="12"/>
      <c r="R797" s="12"/>
      <c r="S797" s="12"/>
      <c r="T797" s="12"/>
      <c r="U797" s="12"/>
      <c r="V797" s="12"/>
      <c r="W797" s="12"/>
      <c r="X797" s="12" t="s">
        <v>1562</v>
      </c>
      <c r="Y797" s="12"/>
      <c r="Z797" s="12"/>
      <c r="AA797" s="12"/>
      <c r="AB797" s="12"/>
      <c r="AC797" s="12"/>
      <c r="AD797" s="17"/>
    </row>
    <row r="798" spans="2:30" s="3" customFormat="1" ht="27" x14ac:dyDescent="0.25">
      <c r="B798" s="9" t="s">
        <v>1377</v>
      </c>
      <c r="C798" s="25" t="s">
        <v>1378</v>
      </c>
      <c r="D798" s="16"/>
      <c r="E798" s="12"/>
      <c r="F798" s="12"/>
      <c r="G798" s="12"/>
      <c r="H798" s="12"/>
      <c r="I798" s="12"/>
      <c r="J798" s="12"/>
      <c r="K798" s="12"/>
      <c r="L798" s="12"/>
      <c r="M798" s="12"/>
      <c r="N798" s="12"/>
      <c r="O798" s="12"/>
      <c r="P798" s="12"/>
      <c r="Q798" s="12"/>
      <c r="R798" s="12"/>
      <c r="S798" s="12"/>
      <c r="T798" s="12"/>
      <c r="U798" s="12"/>
      <c r="V798" s="12"/>
      <c r="W798" s="12"/>
      <c r="X798" s="12" t="s">
        <v>1571</v>
      </c>
      <c r="Y798" s="12"/>
      <c r="Z798" s="12"/>
      <c r="AA798" s="12"/>
      <c r="AB798" s="12"/>
      <c r="AC798" s="12"/>
      <c r="AD798" s="17"/>
    </row>
    <row r="799" spans="2:30" s="3" customFormat="1" ht="67.5" x14ac:dyDescent="0.25">
      <c r="B799" s="9" t="s">
        <v>1379</v>
      </c>
      <c r="C799" s="25" t="s">
        <v>1380</v>
      </c>
      <c r="D799" s="16"/>
      <c r="E799" s="12"/>
      <c r="F799" s="12"/>
      <c r="G799" s="12"/>
      <c r="H799" s="12"/>
      <c r="I799" s="12"/>
      <c r="J799" s="12"/>
      <c r="K799" s="12"/>
      <c r="L799" s="12"/>
      <c r="M799" s="12"/>
      <c r="N799" s="12"/>
      <c r="O799" s="12"/>
      <c r="P799" s="12"/>
      <c r="Q799" s="12"/>
      <c r="R799" s="12"/>
      <c r="S799" s="12"/>
      <c r="T799" s="12"/>
      <c r="U799" s="12"/>
      <c r="V799" s="12"/>
      <c r="W799" s="12"/>
      <c r="X799" s="12" t="s">
        <v>1571</v>
      </c>
      <c r="Y799" s="12"/>
      <c r="Z799" s="12"/>
      <c r="AA799" s="12"/>
      <c r="AB799" s="12"/>
      <c r="AC799" s="12"/>
      <c r="AD799" s="17"/>
    </row>
    <row r="800" spans="2:30" s="3" customFormat="1" ht="27" x14ac:dyDescent="0.25">
      <c r="B800" s="9" t="s">
        <v>1381</v>
      </c>
      <c r="C800" s="25" t="s">
        <v>1382</v>
      </c>
      <c r="D800" s="16"/>
      <c r="E800" s="12"/>
      <c r="F800" s="12"/>
      <c r="G800" s="12"/>
      <c r="H800" s="12"/>
      <c r="I800" s="12"/>
      <c r="J800" s="12"/>
      <c r="K800" s="12"/>
      <c r="L800" s="12"/>
      <c r="M800" s="12"/>
      <c r="N800" s="12"/>
      <c r="O800" s="12"/>
      <c r="P800" s="12"/>
      <c r="Q800" s="12"/>
      <c r="R800" s="12"/>
      <c r="S800" s="12"/>
      <c r="T800" s="12"/>
      <c r="U800" s="12"/>
      <c r="V800" s="12"/>
      <c r="W800" s="12"/>
      <c r="X800" s="12" t="s">
        <v>1571</v>
      </c>
      <c r="Y800" s="12"/>
      <c r="Z800" s="12"/>
      <c r="AA800" s="12"/>
      <c r="AB800" s="12"/>
      <c r="AC800" s="12"/>
      <c r="AD800" s="17"/>
    </row>
    <row r="801" spans="2:30" s="3" customFormat="1" ht="27" x14ac:dyDescent="0.25">
      <c r="B801" s="9" t="s">
        <v>1383</v>
      </c>
      <c r="C801" s="25" t="s">
        <v>1384</v>
      </c>
      <c r="D801" s="16"/>
      <c r="E801" s="12"/>
      <c r="F801" s="12"/>
      <c r="G801" s="12"/>
      <c r="H801" s="12"/>
      <c r="I801" s="12"/>
      <c r="J801" s="12"/>
      <c r="K801" s="12"/>
      <c r="L801" s="12"/>
      <c r="M801" s="12" t="str">
        <f>VLOOKUP(B801,'[1]ART 9'!A:E,5,FALSE)</f>
        <v>Ex. Únicamente: Engranes.</v>
      </c>
      <c r="N801" s="12"/>
      <c r="O801" s="12"/>
      <c r="P801" s="12"/>
      <c r="Q801" s="12"/>
      <c r="R801" s="12"/>
      <c r="S801" s="12"/>
      <c r="T801" s="12"/>
      <c r="U801" s="12"/>
      <c r="V801" s="12"/>
      <c r="W801" s="12"/>
      <c r="X801" s="12" t="s">
        <v>1571</v>
      </c>
      <c r="Y801" s="12"/>
      <c r="Z801" s="12"/>
      <c r="AA801" s="12"/>
      <c r="AB801" s="12"/>
      <c r="AC801" s="12"/>
      <c r="AD801" s="17"/>
    </row>
    <row r="802" spans="2:30" s="3" customFormat="1" ht="67.5" x14ac:dyDescent="0.25">
      <c r="B802" s="9" t="s">
        <v>1385</v>
      </c>
      <c r="C802" s="25" t="s">
        <v>1386</v>
      </c>
      <c r="D802" s="16"/>
      <c r="E802" s="12"/>
      <c r="F802" s="12"/>
      <c r="G802" s="12"/>
      <c r="H802" s="12"/>
      <c r="I802" s="12"/>
      <c r="J802" s="12"/>
      <c r="K802" s="12"/>
      <c r="L802" s="12"/>
      <c r="M802" s="12"/>
      <c r="N802" s="12"/>
      <c r="O802" s="12"/>
      <c r="P802" s="12"/>
      <c r="Q802" s="12"/>
      <c r="R802" s="12"/>
      <c r="S802" s="12"/>
      <c r="T802" s="12"/>
      <c r="U802" s="12"/>
      <c r="V802" s="12"/>
      <c r="W802" s="12"/>
      <c r="X802" s="12" t="s">
        <v>1571</v>
      </c>
      <c r="Y802" s="12"/>
      <c r="Z802" s="12"/>
      <c r="AA802" s="12"/>
      <c r="AB802" s="12"/>
      <c r="AC802" s="12"/>
      <c r="AD802" s="17"/>
    </row>
    <row r="803" spans="2:30" s="3" customFormat="1" ht="54" x14ac:dyDescent="0.25">
      <c r="B803" s="9" t="s">
        <v>1387</v>
      </c>
      <c r="C803" s="25" t="s">
        <v>1388</v>
      </c>
      <c r="D803" s="16"/>
      <c r="E803" s="12"/>
      <c r="F803" s="12"/>
      <c r="G803" s="12"/>
      <c r="H803" s="12"/>
      <c r="I803" s="12"/>
      <c r="J803" s="12"/>
      <c r="K803" s="12"/>
      <c r="L803" s="12"/>
      <c r="M803" s="12"/>
      <c r="N803" s="12"/>
      <c r="O803" s="12"/>
      <c r="P803" s="12"/>
      <c r="Q803" s="12"/>
      <c r="R803" s="12"/>
      <c r="S803" s="12"/>
      <c r="T803" s="12"/>
      <c r="U803" s="12"/>
      <c r="V803" s="12"/>
      <c r="W803" s="12"/>
      <c r="X803" s="12" t="s">
        <v>1571</v>
      </c>
      <c r="Y803" s="12"/>
      <c r="Z803" s="12"/>
      <c r="AA803" s="12"/>
      <c r="AB803" s="12"/>
      <c r="AC803" s="12"/>
      <c r="AD803" s="17"/>
    </row>
    <row r="804" spans="2:30" s="3" customFormat="1" ht="40.5" x14ac:dyDescent="0.25">
      <c r="B804" s="9" t="s">
        <v>1389</v>
      </c>
      <c r="C804" s="25" t="s">
        <v>1390</v>
      </c>
      <c r="D804" s="16"/>
      <c r="E804" s="12"/>
      <c r="F804" s="12"/>
      <c r="G804" s="12"/>
      <c r="H804" s="12"/>
      <c r="I804" s="12"/>
      <c r="J804" s="12"/>
      <c r="K804" s="12"/>
      <c r="L804" s="12"/>
      <c r="M804" s="12"/>
      <c r="N804" s="12"/>
      <c r="O804" s="12"/>
      <c r="P804" s="12"/>
      <c r="Q804" s="12"/>
      <c r="R804" s="12"/>
      <c r="S804" s="12"/>
      <c r="T804" s="12"/>
      <c r="U804" s="12"/>
      <c r="V804" s="12"/>
      <c r="W804" s="12"/>
      <c r="X804" s="12" t="s">
        <v>1571</v>
      </c>
      <c r="Y804" s="12"/>
      <c r="Z804" s="12"/>
      <c r="AA804" s="12"/>
      <c r="AB804" s="12"/>
      <c r="AC804" s="12"/>
      <c r="AD804" s="17"/>
    </row>
    <row r="805" spans="2:30" s="3" customFormat="1" ht="67.5" x14ac:dyDescent="0.25">
      <c r="B805" s="9" t="s">
        <v>1391</v>
      </c>
      <c r="C805" s="25" t="s">
        <v>1392</v>
      </c>
      <c r="D805" s="16"/>
      <c r="E805" s="12"/>
      <c r="F805" s="12"/>
      <c r="G805" s="12"/>
      <c r="H805" s="12"/>
      <c r="I805" s="12"/>
      <c r="J805" s="12"/>
      <c r="K805" s="12"/>
      <c r="L805" s="12"/>
      <c r="M805" s="12"/>
      <c r="N805" s="12"/>
      <c r="O805" s="12"/>
      <c r="P805" s="12"/>
      <c r="Q805" s="12"/>
      <c r="R805" s="12"/>
      <c r="S805" s="12"/>
      <c r="T805" s="12"/>
      <c r="U805" s="12"/>
      <c r="V805" s="12"/>
      <c r="W805" s="12"/>
      <c r="X805" s="12" t="s">
        <v>1571</v>
      </c>
      <c r="Y805" s="12"/>
      <c r="Z805" s="12"/>
      <c r="AA805" s="12"/>
      <c r="AB805" s="12"/>
      <c r="AC805" s="12"/>
      <c r="AD805" s="17"/>
    </row>
    <row r="806" spans="2:30" s="3" customFormat="1" ht="351" x14ac:dyDescent="0.25">
      <c r="B806" s="9" t="s">
        <v>1393</v>
      </c>
      <c r="C806" s="25" t="s">
        <v>1394</v>
      </c>
      <c r="D806" s="16"/>
      <c r="E806" s="12"/>
      <c r="F806" s="12"/>
      <c r="G806" s="12"/>
      <c r="H806" s="12"/>
      <c r="I806" s="12"/>
      <c r="J806" s="12"/>
      <c r="K806" s="12"/>
      <c r="L806" s="12"/>
      <c r="M806" s="12" t="str">
        <f>VLOOKUP(B806,'[1]ART 9'!A:E,5,FALSE)</f>
        <v>Ex. Excepto: Fundas para ejes traseros; flechas semiejes, acoplables al mecanismo diferencial, incluso las de velocidad constante (homocinéticas) y sus partes componentes; juntas universales, tipo cardán para cruceta; ejes cardánicos; fundiciones (esbozos) de funda para eje trasero motriz de vehículos con capacidad de carga superior o igual a 7,258 kg (16,000 libras), pero inferior o igual a 20,884 kg (46,000 libras).</v>
      </c>
      <c r="N806" s="12"/>
      <c r="O806" s="12"/>
      <c r="P806" s="12"/>
      <c r="Q806" s="12"/>
      <c r="R806" s="12"/>
      <c r="S806" s="12"/>
      <c r="T806" s="12"/>
      <c r="U806" s="12"/>
      <c r="V806" s="12"/>
      <c r="W806" s="12"/>
      <c r="X806" s="12" t="s">
        <v>1730</v>
      </c>
      <c r="Y806" s="12"/>
      <c r="Z806" s="12"/>
      <c r="AA806" s="12"/>
      <c r="AB806" s="12"/>
      <c r="AC806" s="12"/>
      <c r="AD806" s="17"/>
    </row>
    <row r="807" spans="2:30" s="3" customFormat="1" ht="67.5" x14ac:dyDescent="0.25">
      <c r="B807" s="9" t="s">
        <v>1395</v>
      </c>
      <c r="C807" s="25" t="s">
        <v>1396</v>
      </c>
      <c r="D807" s="16"/>
      <c r="E807" s="12"/>
      <c r="F807" s="12"/>
      <c r="G807" s="12"/>
      <c r="H807" s="12"/>
      <c r="I807" s="12"/>
      <c r="J807" s="12"/>
      <c r="K807" s="12"/>
      <c r="L807" s="12"/>
      <c r="M807" s="12"/>
      <c r="N807" s="12"/>
      <c r="O807" s="12"/>
      <c r="P807" s="12"/>
      <c r="Q807" s="12"/>
      <c r="R807" s="12"/>
      <c r="S807" s="12"/>
      <c r="T807" s="12"/>
      <c r="U807" s="12"/>
      <c r="V807" s="12"/>
      <c r="W807" s="12"/>
      <c r="X807" s="12" t="s">
        <v>1562</v>
      </c>
      <c r="Y807" s="12"/>
      <c r="Z807" s="12"/>
      <c r="AA807" s="12"/>
      <c r="AB807" s="12"/>
      <c r="AC807" s="12"/>
      <c r="AD807" s="17"/>
    </row>
    <row r="808" spans="2:30" s="3" customFormat="1" ht="27" x14ac:dyDescent="0.25">
      <c r="B808" s="9" t="s">
        <v>1397</v>
      </c>
      <c r="C808" s="25" t="s">
        <v>1398</v>
      </c>
      <c r="D808" s="16"/>
      <c r="E808" s="12"/>
      <c r="F808" s="12"/>
      <c r="G808" s="12"/>
      <c r="H808" s="12"/>
      <c r="I808" s="12"/>
      <c r="J808" s="12"/>
      <c r="K808" s="12"/>
      <c r="L808" s="12"/>
      <c r="M808" s="12"/>
      <c r="N808" s="12"/>
      <c r="O808" s="12"/>
      <c r="P808" s="12"/>
      <c r="Q808" s="12"/>
      <c r="R808" s="12"/>
      <c r="S808" s="12"/>
      <c r="T808" s="12"/>
      <c r="U808" s="12"/>
      <c r="V808" s="12"/>
      <c r="W808" s="12"/>
      <c r="X808" s="12" t="s">
        <v>1562</v>
      </c>
      <c r="Y808" s="12"/>
      <c r="Z808" s="12"/>
      <c r="AA808" s="12"/>
      <c r="AB808" s="12"/>
      <c r="AC808" s="12"/>
      <c r="AD808" s="17"/>
    </row>
    <row r="809" spans="2:30" s="3" customFormat="1" ht="40.5" x14ac:dyDescent="0.25">
      <c r="B809" s="9" t="s">
        <v>1399</v>
      </c>
      <c r="C809" s="25" t="s">
        <v>1400</v>
      </c>
      <c r="D809" s="16"/>
      <c r="E809" s="12"/>
      <c r="F809" s="12"/>
      <c r="G809" s="12"/>
      <c r="H809" s="12"/>
      <c r="I809" s="12"/>
      <c r="J809" s="12"/>
      <c r="K809" s="12"/>
      <c r="L809" s="12"/>
      <c r="M809" s="12" t="str">
        <f>VLOOKUP(B809,'[1]ART 9'!A:E,5,FALSE)</f>
        <v xml:space="preserve">Ex. </v>
      </c>
      <c r="N809" s="12"/>
      <c r="O809" s="12"/>
      <c r="P809" s="12"/>
      <c r="Q809" s="12"/>
      <c r="R809" s="12"/>
      <c r="S809" s="12"/>
      <c r="T809" s="12"/>
      <c r="U809" s="12"/>
      <c r="V809" s="12"/>
      <c r="W809" s="12"/>
      <c r="X809" s="12" t="s">
        <v>1562</v>
      </c>
      <c r="Y809" s="12"/>
      <c r="Z809" s="12"/>
      <c r="AA809" s="12"/>
      <c r="AB809" s="12"/>
      <c r="AC809" s="12"/>
      <c r="AD809" s="17"/>
    </row>
    <row r="810" spans="2:30" s="3" customFormat="1" ht="27" x14ac:dyDescent="0.25">
      <c r="B810" s="9" t="s">
        <v>1401</v>
      </c>
      <c r="C810" s="25" t="s">
        <v>1402</v>
      </c>
      <c r="D810" s="16"/>
      <c r="E810" s="12"/>
      <c r="F810" s="12"/>
      <c r="G810" s="12"/>
      <c r="H810" s="12"/>
      <c r="I810" s="12"/>
      <c r="J810" s="12"/>
      <c r="K810" s="12"/>
      <c r="L810" s="12"/>
      <c r="M810" s="12"/>
      <c r="N810" s="12"/>
      <c r="O810" s="12"/>
      <c r="P810" s="12"/>
      <c r="Q810" s="12"/>
      <c r="R810" s="12"/>
      <c r="S810" s="12"/>
      <c r="T810" s="12"/>
      <c r="U810" s="12"/>
      <c r="V810" s="12"/>
      <c r="W810" s="12"/>
      <c r="X810" s="12" t="s">
        <v>1571</v>
      </c>
      <c r="Y810" s="12"/>
      <c r="Z810" s="12"/>
      <c r="AA810" s="12"/>
      <c r="AB810" s="12"/>
      <c r="AC810" s="12"/>
      <c r="AD810" s="17"/>
    </row>
    <row r="811" spans="2:30" s="3" customFormat="1" ht="13.5" x14ac:dyDescent="0.25">
      <c r="B811" s="9" t="s">
        <v>1403</v>
      </c>
      <c r="C811" s="25" t="s">
        <v>1404</v>
      </c>
      <c r="D811" s="16"/>
      <c r="E811" s="12"/>
      <c r="F811" s="12"/>
      <c r="G811" s="12"/>
      <c r="H811" s="12"/>
      <c r="I811" s="12"/>
      <c r="J811" s="12"/>
      <c r="K811" s="12"/>
      <c r="L811" s="12"/>
      <c r="M811" s="12"/>
      <c r="N811" s="12"/>
      <c r="O811" s="12"/>
      <c r="P811" s="12"/>
      <c r="Q811" s="12"/>
      <c r="R811" s="12"/>
      <c r="S811" s="12"/>
      <c r="T811" s="12"/>
      <c r="U811" s="12"/>
      <c r="V811" s="12"/>
      <c r="W811" s="12"/>
      <c r="X811" s="12" t="s">
        <v>1571</v>
      </c>
      <c r="Y811" s="12"/>
      <c r="Z811" s="12"/>
      <c r="AA811" s="12"/>
      <c r="AB811" s="12"/>
      <c r="AC811" s="12"/>
      <c r="AD811" s="17"/>
    </row>
    <row r="812" spans="2:30" s="3" customFormat="1" ht="27" x14ac:dyDescent="0.25">
      <c r="B812" s="9" t="s">
        <v>1405</v>
      </c>
      <c r="C812" s="25" t="s">
        <v>1406</v>
      </c>
      <c r="D812" s="16"/>
      <c r="E812" s="12"/>
      <c r="F812" s="12"/>
      <c r="G812" s="12"/>
      <c r="H812" s="12"/>
      <c r="I812" s="12"/>
      <c r="J812" s="12"/>
      <c r="K812" s="12"/>
      <c r="L812" s="12"/>
      <c r="M812" s="12"/>
      <c r="N812" s="12"/>
      <c r="O812" s="12"/>
      <c r="P812" s="12"/>
      <c r="Q812" s="12"/>
      <c r="R812" s="12"/>
      <c r="S812" s="12"/>
      <c r="T812" s="12"/>
      <c r="U812" s="12"/>
      <c r="V812" s="12"/>
      <c r="W812" s="12"/>
      <c r="X812" s="12" t="s">
        <v>1571</v>
      </c>
      <c r="Y812" s="12"/>
      <c r="Z812" s="12"/>
      <c r="AA812" s="12"/>
      <c r="AB812" s="12"/>
      <c r="AC812" s="12"/>
      <c r="AD812" s="17"/>
    </row>
    <row r="813" spans="2:30" s="3" customFormat="1" ht="40.5" x14ac:dyDescent="0.25">
      <c r="B813" s="9" t="s">
        <v>1407</v>
      </c>
      <c r="C813" s="25" t="s">
        <v>1408</v>
      </c>
      <c r="D813" s="16"/>
      <c r="E813" s="12"/>
      <c r="F813" s="12"/>
      <c r="G813" s="12"/>
      <c r="H813" s="12"/>
      <c r="I813" s="12"/>
      <c r="J813" s="12"/>
      <c r="K813" s="12"/>
      <c r="L813" s="12"/>
      <c r="M813" s="12"/>
      <c r="N813" s="12"/>
      <c r="O813" s="12"/>
      <c r="P813" s="12"/>
      <c r="Q813" s="12"/>
      <c r="R813" s="12"/>
      <c r="S813" s="12"/>
      <c r="T813" s="12"/>
      <c r="U813" s="12"/>
      <c r="V813" s="12"/>
      <c r="W813" s="12"/>
      <c r="X813" s="12" t="s">
        <v>1571</v>
      </c>
      <c r="Y813" s="12"/>
      <c r="Z813" s="12"/>
      <c r="AA813" s="12"/>
      <c r="AB813" s="12"/>
      <c r="AC813" s="12"/>
      <c r="AD813" s="17"/>
    </row>
    <row r="814" spans="2:30" s="3" customFormat="1" ht="13.5" x14ac:dyDescent="0.25">
      <c r="B814" s="9" t="s">
        <v>1409</v>
      </c>
      <c r="C814" s="25" t="s">
        <v>1410</v>
      </c>
      <c r="D814" s="16"/>
      <c r="E814" s="12"/>
      <c r="F814" s="12"/>
      <c r="G814" s="12"/>
      <c r="H814" s="12"/>
      <c r="I814" s="12"/>
      <c r="J814" s="12"/>
      <c r="K814" s="12"/>
      <c r="L814" s="12"/>
      <c r="M814" s="12"/>
      <c r="N814" s="12"/>
      <c r="O814" s="12"/>
      <c r="P814" s="12"/>
      <c r="Q814" s="12"/>
      <c r="R814" s="12"/>
      <c r="S814" s="12"/>
      <c r="T814" s="12"/>
      <c r="U814" s="12"/>
      <c r="V814" s="12"/>
      <c r="W814" s="12"/>
      <c r="X814" s="12" t="s">
        <v>1562</v>
      </c>
      <c r="Y814" s="12"/>
      <c r="Z814" s="12"/>
      <c r="AA814" s="12"/>
      <c r="AB814" s="12"/>
      <c r="AC814" s="12"/>
      <c r="AD814" s="17"/>
    </row>
    <row r="815" spans="2:30" s="3" customFormat="1" ht="13.5" x14ac:dyDescent="0.25">
      <c r="B815" s="9" t="s">
        <v>1411</v>
      </c>
      <c r="C815" s="25" t="s">
        <v>53</v>
      </c>
      <c r="D815" s="16"/>
      <c r="E815" s="12"/>
      <c r="F815" s="12"/>
      <c r="G815" s="12"/>
      <c r="H815" s="12"/>
      <c r="I815" s="12"/>
      <c r="J815" s="12"/>
      <c r="K815" s="12"/>
      <c r="L815" s="12"/>
      <c r="M815" s="12"/>
      <c r="N815" s="12"/>
      <c r="O815" s="12"/>
      <c r="P815" s="12"/>
      <c r="Q815" s="12"/>
      <c r="R815" s="12"/>
      <c r="S815" s="12"/>
      <c r="T815" s="12"/>
      <c r="U815" s="12"/>
      <c r="V815" s="12"/>
      <c r="W815" s="12"/>
      <c r="X815" s="12" t="s">
        <v>1562</v>
      </c>
      <c r="Y815" s="12"/>
      <c r="Z815" s="12"/>
      <c r="AA815" s="12"/>
      <c r="AB815" s="12"/>
      <c r="AC815" s="12"/>
      <c r="AD815" s="17"/>
    </row>
    <row r="816" spans="2:30" s="3" customFormat="1" ht="13.5" x14ac:dyDescent="0.25">
      <c r="B816" s="9" t="s">
        <v>1412</v>
      </c>
      <c r="C816" s="25" t="s">
        <v>53</v>
      </c>
      <c r="D816" s="16"/>
      <c r="E816" s="12"/>
      <c r="F816" s="12"/>
      <c r="G816" s="12"/>
      <c r="H816" s="12"/>
      <c r="I816" s="12"/>
      <c r="J816" s="12"/>
      <c r="K816" s="12"/>
      <c r="L816" s="12"/>
      <c r="M816" s="12" t="str">
        <f>VLOOKUP(B816,'[1]ART 9'!A:E,5,FALSE)</f>
        <v xml:space="preserve">Ex. </v>
      </c>
      <c r="N816" s="12"/>
      <c r="O816" s="12"/>
      <c r="P816" s="12"/>
      <c r="Q816" s="12"/>
      <c r="R816" s="12"/>
      <c r="S816" s="12"/>
      <c r="T816" s="12"/>
      <c r="U816" s="12"/>
      <c r="V816" s="12"/>
      <c r="W816" s="12"/>
      <c r="X816" s="12" t="s">
        <v>1562</v>
      </c>
      <c r="Y816" s="12"/>
      <c r="Z816" s="12"/>
      <c r="AA816" s="12"/>
      <c r="AB816" s="12"/>
      <c r="AC816" s="12"/>
      <c r="AD816" s="17"/>
    </row>
    <row r="817" spans="2:30" s="3" customFormat="1" ht="67.5" x14ac:dyDescent="0.25">
      <c r="B817" s="9" t="s">
        <v>1413</v>
      </c>
      <c r="C817" s="25" t="s">
        <v>1414</v>
      </c>
      <c r="D817" s="16"/>
      <c r="E817" s="12"/>
      <c r="F817" s="12"/>
      <c r="G817" s="12"/>
      <c r="H817" s="12"/>
      <c r="I817" s="12"/>
      <c r="J817" s="12"/>
      <c r="K817" s="12"/>
      <c r="L817" s="12"/>
      <c r="M817" s="12" t="str">
        <f>VLOOKUP(B817,'[1]ART 9'!A:E,5,FALSE)</f>
        <v xml:space="preserve">Ex. </v>
      </c>
      <c r="N817" s="12"/>
      <c r="O817" s="12"/>
      <c r="P817" s="12"/>
      <c r="Q817" s="12"/>
      <c r="R817" s="12"/>
      <c r="S817" s="12"/>
      <c r="T817" s="12"/>
      <c r="U817" s="12"/>
      <c r="V817" s="12"/>
      <c r="W817" s="12"/>
      <c r="X817" s="12" t="s">
        <v>1562</v>
      </c>
      <c r="Y817" s="12"/>
      <c r="Z817" s="12"/>
      <c r="AA817" s="12"/>
      <c r="AB817" s="12"/>
      <c r="AC817" s="12"/>
      <c r="AD817" s="17"/>
    </row>
    <row r="818" spans="2:30" s="3" customFormat="1" ht="54" x14ac:dyDescent="0.25">
      <c r="B818" s="9" t="s">
        <v>1415</v>
      </c>
      <c r="C818" s="25" t="s">
        <v>1416</v>
      </c>
      <c r="D818" s="16"/>
      <c r="E818" s="12"/>
      <c r="F818" s="12"/>
      <c r="G818" s="12"/>
      <c r="H818" s="12"/>
      <c r="I818" s="12"/>
      <c r="J818" s="12"/>
      <c r="K818" s="12"/>
      <c r="L818" s="12"/>
      <c r="M818" s="12"/>
      <c r="N818" s="12"/>
      <c r="O818" s="12"/>
      <c r="P818" s="12"/>
      <c r="Q818" s="12"/>
      <c r="R818" s="12"/>
      <c r="S818" s="12"/>
      <c r="T818" s="12"/>
      <c r="U818" s="12"/>
      <c r="V818" s="12"/>
      <c r="W818" s="12"/>
      <c r="X818" s="12" t="s">
        <v>1562</v>
      </c>
      <c r="Y818" s="12"/>
      <c r="Z818" s="12"/>
      <c r="AA818" s="12"/>
      <c r="AB818" s="12"/>
      <c r="AC818" s="12"/>
      <c r="AD818" s="17"/>
    </row>
    <row r="819" spans="2:30" s="3" customFormat="1" ht="54" x14ac:dyDescent="0.25">
      <c r="B819" s="9" t="s">
        <v>1417</v>
      </c>
      <c r="C819" s="25" t="s">
        <v>1418</v>
      </c>
      <c r="D819" s="16"/>
      <c r="E819" s="12"/>
      <c r="F819" s="12"/>
      <c r="G819" s="12"/>
      <c r="H819" s="12"/>
      <c r="I819" s="12"/>
      <c r="J819" s="12"/>
      <c r="K819" s="12"/>
      <c r="L819" s="12"/>
      <c r="M819" s="12"/>
      <c r="N819" s="12"/>
      <c r="O819" s="12"/>
      <c r="P819" s="12"/>
      <c r="Q819" s="12"/>
      <c r="R819" s="12"/>
      <c r="S819" s="12"/>
      <c r="T819" s="12"/>
      <c r="U819" s="12"/>
      <c r="V819" s="12"/>
      <c r="W819" s="12"/>
      <c r="X819" s="12" t="s">
        <v>1562</v>
      </c>
      <c r="Y819" s="12"/>
      <c r="Z819" s="12"/>
      <c r="AA819" s="12"/>
      <c r="AB819" s="12"/>
      <c r="AC819" s="12"/>
      <c r="AD819" s="17"/>
    </row>
    <row r="820" spans="2:30" s="3" customFormat="1" ht="67.5" x14ac:dyDescent="0.25">
      <c r="B820" s="9" t="s">
        <v>1419</v>
      </c>
      <c r="C820" s="25" t="s">
        <v>1420</v>
      </c>
      <c r="D820" s="16"/>
      <c r="E820" s="12"/>
      <c r="F820" s="12"/>
      <c r="G820" s="12"/>
      <c r="H820" s="12"/>
      <c r="I820" s="12"/>
      <c r="J820" s="12"/>
      <c r="K820" s="12"/>
      <c r="L820" s="12"/>
      <c r="M820" s="12"/>
      <c r="N820" s="12"/>
      <c r="O820" s="12"/>
      <c r="P820" s="12"/>
      <c r="Q820" s="12"/>
      <c r="R820" s="12"/>
      <c r="S820" s="12"/>
      <c r="T820" s="12"/>
      <c r="U820" s="12"/>
      <c r="V820" s="12"/>
      <c r="W820" s="12"/>
      <c r="X820" s="12" t="s">
        <v>1562</v>
      </c>
      <c r="Y820" s="12"/>
      <c r="Z820" s="12"/>
      <c r="AA820" s="12"/>
      <c r="AB820" s="12"/>
      <c r="AC820" s="12"/>
      <c r="AD820" s="17"/>
    </row>
    <row r="821" spans="2:30" s="3" customFormat="1" ht="54" x14ac:dyDescent="0.25">
      <c r="B821" s="9" t="s">
        <v>1421</v>
      </c>
      <c r="C821" s="25" t="s">
        <v>1422</v>
      </c>
      <c r="D821" s="16"/>
      <c r="E821" s="12"/>
      <c r="F821" s="12"/>
      <c r="G821" s="12"/>
      <c r="H821" s="12"/>
      <c r="I821" s="12"/>
      <c r="J821" s="12"/>
      <c r="K821" s="12"/>
      <c r="L821" s="12"/>
      <c r="M821" s="12"/>
      <c r="N821" s="12"/>
      <c r="O821" s="12"/>
      <c r="P821" s="12"/>
      <c r="Q821" s="12"/>
      <c r="R821" s="12"/>
      <c r="S821" s="12" t="s">
        <v>1562</v>
      </c>
      <c r="T821" s="12"/>
      <c r="U821" s="12"/>
      <c r="V821" s="12"/>
      <c r="W821" s="12"/>
      <c r="X821" s="12"/>
      <c r="Y821" s="12"/>
      <c r="Z821" s="12"/>
      <c r="AA821" s="12"/>
      <c r="AB821" s="12"/>
      <c r="AC821" s="12"/>
      <c r="AD821" s="17"/>
    </row>
    <row r="822" spans="2:30" s="3" customFormat="1" ht="409.5" x14ac:dyDescent="0.25">
      <c r="B822" s="9" t="s">
        <v>1423</v>
      </c>
      <c r="C822" s="25" t="s">
        <v>1424</v>
      </c>
      <c r="D822" s="16"/>
      <c r="E822" s="12"/>
      <c r="F822" s="12"/>
      <c r="G822" s="12"/>
      <c r="H822" s="12"/>
      <c r="I822" s="12"/>
      <c r="J822" s="12"/>
      <c r="K822" s="12"/>
      <c r="L822" s="12"/>
      <c r="M822" s="12"/>
      <c r="N822" s="12"/>
      <c r="O822" s="12"/>
      <c r="P822" s="12"/>
      <c r="Q822" s="12"/>
      <c r="R822" s="12"/>
      <c r="S822" s="12"/>
      <c r="T822" s="12"/>
      <c r="U822" s="12"/>
      <c r="V822" s="12"/>
      <c r="W822" s="12"/>
      <c r="X822" s="12" t="s">
        <v>1731</v>
      </c>
      <c r="Y822" s="12"/>
      <c r="Z822" s="12"/>
      <c r="AA822" s="12"/>
      <c r="AB822" s="12"/>
      <c r="AC822" s="12"/>
      <c r="AD822" s="17" t="s">
        <v>1731</v>
      </c>
    </row>
    <row r="823" spans="2:30" s="3" customFormat="1" ht="27" x14ac:dyDescent="0.25">
      <c r="B823" s="9" t="s">
        <v>1425</v>
      </c>
      <c r="C823" s="25" t="s">
        <v>1426</v>
      </c>
      <c r="D823" s="16"/>
      <c r="E823" s="12"/>
      <c r="F823" s="12"/>
      <c r="G823" s="12"/>
      <c r="H823" s="12"/>
      <c r="I823" s="12"/>
      <c r="J823" s="12"/>
      <c r="K823" s="12"/>
      <c r="L823" s="12"/>
      <c r="M823" s="12"/>
      <c r="N823" s="12"/>
      <c r="O823" s="12"/>
      <c r="P823" s="12"/>
      <c r="Q823" s="12"/>
      <c r="R823" s="12"/>
      <c r="S823" s="12"/>
      <c r="T823" s="12"/>
      <c r="U823" s="12"/>
      <c r="V823" s="12"/>
      <c r="W823" s="12"/>
      <c r="X823" s="12" t="s">
        <v>1571</v>
      </c>
      <c r="Y823" s="12"/>
      <c r="Z823" s="12"/>
      <c r="AA823" s="12"/>
      <c r="AB823" s="12"/>
      <c r="AC823" s="12"/>
      <c r="AD823" s="17"/>
    </row>
    <row r="824" spans="2:30" s="3" customFormat="1" ht="108" x14ac:dyDescent="0.25">
      <c r="B824" s="9" t="s">
        <v>1427</v>
      </c>
      <c r="C824" s="25" t="s">
        <v>1428</v>
      </c>
      <c r="D824" s="16"/>
      <c r="E824" s="12" t="str">
        <f>VLOOKUP(B824,'[1]ART 2 A)'!A:E,5,FALSE)</f>
        <v>Ex.Únicamente: Carretillas y carros de mano; carretillas de accionamiento hidráulico.</v>
      </c>
      <c r="F824" s="12"/>
      <c r="G824" s="12"/>
      <c r="H824" s="12" t="str">
        <f>VLOOKUP(B824,'[1]ART IV'!A:E,5,FALSE)</f>
        <v xml:space="preserve">Ex. Únicamente: Carretillas y carros de mano; carretillas de accionamiento hidráulico. </v>
      </c>
      <c r="I824" s="12"/>
      <c r="J824" s="12"/>
      <c r="K824" s="12"/>
      <c r="L824" s="12"/>
      <c r="M824" s="12"/>
      <c r="N824" s="12"/>
      <c r="O824" s="12"/>
      <c r="P824" s="12"/>
      <c r="Q824" s="12"/>
      <c r="R824" s="12"/>
      <c r="S824" s="12"/>
      <c r="T824" s="12"/>
      <c r="U824" s="12"/>
      <c r="V824" s="12"/>
      <c r="W824" s="12"/>
      <c r="X824" s="12" t="s">
        <v>1732</v>
      </c>
      <c r="Y824" s="12"/>
      <c r="Z824" s="12"/>
      <c r="AA824" s="12"/>
      <c r="AB824" s="12"/>
      <c r="AC824" s="12"/>
      <c r="AD824" s="17"/>
    </row>
    <row r="825" spans="2:30" s="3" customFormat="1" ht="54" x14ac:dyDescent="0.25">
      <c r="B825" s="9" t="s">
        <v>1429</v>
      </c>
      <c r="C825" s="25" t="s">
        <v>1430</v>
      </c>
      <c r="D825" s="16"/>
      <c r="E825" s="12"/>
      <c r="F825" s="12"/>
      <c r="G825" s="12"/>
      <c r="H825" s="12"/>
      <c r="I825" s="12"/>
      <c r="J825" s="12"/>
      <c r="K825" s="12"/>
      <c r="L825" s="12"/>
      <c r="M825" s="12"/>
      <c r="N825" s="12"/>
      <c r="O825" s="12"/>
      <c r="P825" s="12"/>
      <c r="Q825" s="12"/>
      <c r="R825" s="12"/>
      <c r="S825" s="12" t="s">
        <v>1562</v>
      </c>
      <c r="T825" s="12"/>
      <c r="U825" s="12"/>
      <c r="V825" s="12"/>
      <c r="W825" s="12"/>
      <c r="X825" s="12"/>
      <c r="Y825" s="12"/>
      <c r="Z825" s="12"/>
      <c r="AA825" s="12"/>
      <c r="AB825" s="12"/>
      <c r="AC825" s="12"/>
      <c r="AD825" s="17"/>
    </row>
    <row r="826" spans="2:30" s="3" customFormat="1" ht="40.5" x14ac:dyDescent="0.25">
      <c r="B826" s="9" t="s">
        <v>1431</v>
      </c>
      <c r="C826" s="25" t="s">
        <v>1432</v>
      </c>
      <c r="D826" s="16"/>
      <c r="E826" s="12"/>
      <c r="F826" s="12"/>
      <c r="G826" s="12"/>
      <c r="H826" s="12"/>
      <c r="I826" s="12"/>
      <c r="J826" s="12"/>
      <c r="K826" s="12"/>
      <c r="L826" s="12"/>
      <c r="M826" s="12"/>
      <c r="N826" s="12"/>
      <c r="O826" s="12"/>
      <c r="P826" s="12"/>
      <c r="Q826" s="12"/>
      <c r="R826" s="12"/>
      <c r="S826" s="12" t="s">
        <v>1562</v>
      </c>
      <c r="T826" s="12"/>
      <c r="U826" s="12"/>
      <c r="V826" s="12"/>
      <c r="W826" s="12"/>
      <c r="X826" s="12"/>
      <c r="Y826" s="12"/>
      <c r="Z826" s="12"/>
      <c r="AA826" s="12"/>
      <c r="AB826" s="12"/>
      <c r="AC826" s="12"/>
      <c r="AD826" s="17"/>
    </row>
    <row r="827" spans="2:30" s="3" customFormat="1" ht="13.5" x14ac:dyDescent="0.25">
      <c r="B827" s="9" t="s">
        <v>1433</v>
      </c>
      <c r="C827" s="25" t="s">
        <v>157</v>
      </c>
      <c r="D827" s="16"/>
      <c r="E827" s="12"/>
      <c r="F827" s="12"/>
      <c r="G827" s="12"/>
      <c r="H827" s="12"/>
      <c r="I827" s="12"/>
      <c r="J827" s="12"/>
      <c r="K827" s="12"/>
      <c r="L827" s="12"/>
      <c r="M827" s="12"/>
      <c r="N827" s="12"/>
      <c r="O827" s="12"/>
      <c r="P827" s="12"/>
      <c r="Q827" s="12"/>
      <c r="R827" s="12"/>
      <c r="S827" s="12" t="s">
        <v>1562</v>
      </c>
      <c r="T827" s="12"/>
      <c r="U827" s="12"/>
      <c r="V827" s="12"/>
      <c r="W827" s="12"/>
      <c r="X827" s="12"/>
      <c r="Y827" s="12"/>
      <c r="Z827" s="12"/>
      <c r="AA827" s="12"/>
      <c r="AB827" s="12"/>
      <c r="AC827" s="12"/>
      <c r="AD827" s="17"/>
    </row>
    <row r="828" spans="2:30" s="3" customFormat="1" ht="13.5" x14ac:dyDescent="0.25">
      <c r="B828" s="9" t="s">
        <v>1434</v>
      </c>
      <c r="C828" s="25" t="s">
        <v>53</v>
      </c>
      <c r="D828" s="16" t="str">
        <f>VLOOKUP(B828,'[1]ART 1'!A:E,5,FALSE)</f>
        <v>Ex.</v>
      </c>
      <c r="E828" s="12" t="str">
        <f>VLOOKUP(B828,'[1]ART 2 A)'!A:E,5,FALSE)</f>
        <v>Ex.</v>
      </c>
      <c r="F828" s="12"/>
      <c r="G828" s="12" t="str">
        <f>VLOOKUP(B828,'[1]ART 3'!A:E,5,FALSE)</f>
        <v xml:space="preserve">Ex. </v>
      </c>
      <c r="H828" s="12" t="str">
        <f>VLOOKUP(B828,'[1]ART IV'!A:E,5,FALSE)</f>
        <v xml:space="preserve">Ex. </v>
      </c>
      <c r="I828" s="12"/>
      <c r="J828" s="12"/>
      <c r="K828" s="12"/>
      <c r="L828" s="12"/>
      <c r="M828" s="12"/>
      <c r="N828" s="12"/>
      <c r="O828" s="12"/>
      <c r="P828" s="12"/>
      <c r="Q828" s="12"/>
      <c r="R828" s="12"/>
      <c r="S828" s="12"/>
      <c r="T828" s="12"/>
      <c r="U828" s="12"/>
      <c r="V828" s="12"/>
      <c r="W828" s="12"/>
      <c r="X828" s="12" t="s">
        <v>1562</v>
      </c>
      <c r="Y828" s="12"/>
      <c r="Z828" s="12"/>
      <c r="AA828" s="12"/>
      <c r="AB828" s="12"/>
      <c r="AC828" s="12"/>
      <c r="AD828" s="17"/>
    </row>
    <row r="829" spans="2:30" s="3" customFormat="1" ht="13.5" x14ac:dyDescent="0.25">
      <c r="B829" s="9" t="s">
        <v>1435</v>
      </c>
      <c r="C829" s="25" t="s">
        <v>1436</v>
      </c>
      <c r="D829" s="16"/>
      <c r="E829" s="12" t="str">
        <f>VLOOKUP(B829,'[1]ART 2 A)'!A:E,5,FALSE)</f>
        <v>Ex.</v>
      </c>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7"/>
    </row>
    <row r="830" spans="2:30" s="3" customFormat="1" ht="135" x14ac:dyDescent="0.25">
      <c r="B830" s="9" t="s">
        <v>1437</v>
      </c>
      <c r="C830" s="25" t="s">
        <v>157</v>
      </c>
      <c r="D830" s="16"/>
      <c r="E830" s="12"/>
      <c r="F830" s="12"/>
      <c r="G830" s="12"/>
      <c r="H830" s="12"/>
      <c r="I830" s="12"/>
      <c r="J830" s="12"/>
      <c r="K830" s="12"/>
      <c r="L830" s="12" t="str">
        <f>VLOOKUP(B830,'[1]ART 8'!A:E,5,FALSE)</f>
        <v>Ex. Excepto: Con visor de reflexión a través del objetivo, para películas en rollo de anchura inferior o igual a 35 mm.</v>
      </c>
      <c r="M830" s="12"/>
      <c r="N830" s="12"/>
      <c r="O830" s="12"/>
      <c r="P830" s="12"/>
      <c r="Q830" s="12"/>
      <c r="R830" s="12"/>
      <c r="S830" s="12"/>
      <c r="T830" s="12"/>
      <c r="U830" s="12"/>
      <c r="V830" s="12"/>
      <c r="W830" s="12"/>
      <c r="X830" s="12"/>
      <c r="Y830" s="12"/>
      <c r="Z830" s="12"/>
      <c r="AA830" s="12"/>
      <c r="AB830" s="12"/>
      <c r="AC830" s="12"/>
      <c r="AD830" s="17"/>
    </row>
    <row r="831" spans="2:30" s="3" customFormat="1" ht="67.5" x14ac:dyDescent="0.25">
      <c r="B831" s="9" t="s">
        <v>1438</v>
      </c>
      <c r="C831" s="25" t="s">
        <v>1439</v>
      </c>
      <c r="D831" s="16"/>
      <c r="E831" s="12"/>
      <c r="F831" s="12"/>
      <c r="G831" s="12"/>
      <c r="H831" s="12"/>
      <c r="I831" s="12"/>
      <c r="J831" s="12"/>
      <c r="K831" s="12"/>
      <c r="L831" s="12" t="str">
        <f>VLOOKUP(B831,'[1]ART 8'!A:E,5,FALSE)</f>
        <v xml:space="preserve">Ex. </v>
      </c>
      <c r="M831" s="12"/>
      <c r="N831" s="12"/>
      <c r="O831" s="12"/>
      <c r="P831" s="12"/>
      <c r="Q831" s="12"/>
      <c r="R831" s="12"/>
      <c r="S831" s="12"/>
      <c r="T831" s="12"/>
      <c r="U831" s="12"/>
      <c r="V831" s="12"/>
      <c r="W831" s="12"/>
      <c r="X831" s="12"/>
      <c r="Y831" s="12"/>
      <c r="Z831" s="12"/>
      <c r="AA831" s="12"/>
      <c r="AB831" s="12"/>
      <c r="AC831" s="12"/>
      <c r="AD831" s="17"/>
    </row>
    <row r="832" spans="2:30" s="3" customFormat="1" ht="67.5" x14ac:dyDescent="0.25">
      <c r="B832" s="9" t="s">
        <v>1440</v>
      </c>
      <c r="C832" s="25" t="s">
        <v>53</v>
      </c>
      <c r="D832" s="16"/>
      <c r="E832" s="12" t="str">
        <f>VLOOKUP(B832,'[1]ART 2 A)'!A:E,5,FALSE)</f>
        <v>Ex.Excepto: Lámparas y cubos, de destello, y similares.</v>
      </c>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7"/>
    </row>
    <row r="833" spans="2:30" s="3" customFormat="1" ht="13.5" x14ac:dyDescent="0.25">
      <c r="B833" s="9" t="s">
        <v>1441</v>
      </c>
      <c r="C833" s="25" t="s">
        <v>1442</v>
      </c>
      <c r="D833" s="16"/>
      <c r="E833" s="12" t="str">
        <f>VLOOKUP(B833,'[1]ART 2 A)'!A:E,5,FALSE)</f>
        <v>Ex.</v>
      </c>
      <c r="F833" s="12"/>
      <c r="G833" s="12"/>
      <c r="H833" s="12"/>
      <c r="I833" s="12"/>
      <c r="J833" s="12"/>
      <c r="K833" s="12"/>
      <c r="L833" s="12"/>
      <c r="M833" s="12"/>
      <c r="N833" s="12"/>
      <c r="O833" s="12"/>
      <c r="P833" s="12"/>
      <c r="Q833" s="12"/>
      <c r="R833" s="12"/>
      <c r="S833" s="12"/>
      <c r="T833" s="12"/>
      <c r="U833" s="12"/>
      <c r="V833" s="12"/>
      <c r="W833" s="12"/>
      <c r="X833" s="12" t="s">
        <v>1562</v>
      </c>
      <c r="Y833" s="12"/>
      <c r="Z833" s="12"/>
      <c r="AA833" s="12"/>
      <c r="AB833" s="12"/>
      <c r="AC833" s="12"/>
      <c r="AD833" s="17"/>
    </row>
    <row r="834" spans="2:30" s="3" customFormat="1" ht="13.5" x14ac:dyDescent="0.25">
      <c r="B834" s="9" t="s">
        <v>1443</v>
      </c>
      <c r="C834" s="25" t="s">
        <v>53</v>
      </c>
      <c r="D834" s="16" t="str">
        <f>VLOOKUP(B834,'[1]ART 1'!A:E,5,FALSE)</f>
        <v>Ex.</v>
      </c>
      <c r="E834" s="12" t="str">
        <f>VLOOKUP(B834,'[1]ART 2 A)'!A:E,5,FALSE)</f>
        <v>Ex.</v>
      </c>
      <c r="F834" s="12"/>
      <c r="G834" s="12"/>
      <c r="H834" s="12"/>
      <c r="I834" s="12"/>
      <c r="J834" s="12"/>
      <c r="K834" s="12"/>
      <c r="L834" s="12"/>
      <c r="M834" s="12"/>
      <c r="N834" s="12"/>
      <c r="O834" s="12" t="s">
        <v>1562</v>
      </c>
      <c r="P834" s="12"/>
      <c r="Q834" s="12"/>
      <c r="R834" s="12"/>
      <c r="S834" s="12"/>
      <c r="T834" s="12"/>
      <c r="U834" s="12"/>
      <c r="V834" s="12"/>
      <c r="W834" s="12"/>
      <c r="X834" s="12" t="s">
        <v>1562</v>
      </c>
      <c r="Y834" s="12"/>
      <c r="Z834" s="12"/>
      <c r="AA834" s="12"/>
      <c r="AB834" s="12"/>
      <c r="AC834" s="12"/>
      <c r="AD834" s="17"/>
    </row>
    <row r="835" spans="2:30" s="3" customFormat="1" ht="54" x14ac:dyDescent="0.25">
      <c r="B835" s="9" t="s">
        <v>1444</v>
      </c>
      <c r="C835" s="25" t="s">
        <v>1445</v>
      </c>
      <c r="D835" s="16"/>
      <c r="E835" s="12" t="str">
        <f>VLOOKUP(B835,'[1]ART 2 A)'!A:E,5,FALSE)</f>
        <v>Ex.</v>
      </c>
      <c r="F835" s="12"/>
      <c r="G835" s="12"/>
      <c r="H835" s="12"/>
      <c r="I835" s="12"/>
      <c r="J835" s="12"/>
      <c r="K835" s="12"/>
      <c r="L835" s="12"/>
      <c r="M835" s="12"/>
      <c r="N835" s="12"/>
      <c r="O835" s="12"/>
      <c r="P835" s="12"/>
      <c r="Q835" s="12"/>
      <c r="R835" s="12"/>
      <c r="S835" s="12"/>
      <c r="T835" s="12"/>
      <c r="U835" s="12"/>
      <c r="V835" s="12"/>
      <c r="W835" s="12"/>
      <c r="X835" s="12" t="s">
        <v>1562</v>
      </c>
      <c r="Y835" s="12"/>
      <c r="Z835" s="12"/>
      <c r="AA835" s="12"/>
      <c r="AB835" s="12"/>
      <c r="AC835" s="12"/>
      <c r="AD835" s="17"/>
    </row>
    <row r="836" spans="2:30" s="3" customFormat="1" ht="13.5" x14ac:dyDescent="0.25">
      <c r="B836" s="9" t="s">
        <v>1446</v>
      </c>
      <c r="C836" s="25" t="s">
        <v>1447</v>
      </c>
      <c r="D836" s="16" t="str">
        <f>VLOOKUP(B836,'[1]ART 1'!A:E,5,FALSE)</f>
        <v>Ex.</v>
      </c>
      <c r="E836" s="12" t="str">
        <f>VLOOKUP(B836,'[1]ART 2 A)'!A:E,5,FALSE)</f>
        <v>Ex.</v>
      </c>
      <c r="F836" s="12"/>
      <c r="G836" s="12"/>
      <c r="H836" s="12"/>
      <c r="I836" s="12"/>
      <c r="J836" s="12"/>
      <c r="K836" s="12"/>
      <c r="L836" s="12"/>
      <c r="M836" s="12"/>
      <c r="N836" s="12"/>
      <c r="O836" s="12" t="s">
        <v>1562</v>
      </c>
      <c r="P836" s="12"/>
      <c r="Q836" s="12"/>
      <c r="R836" s="12"/>
      <c r="S836" s="12"/>
      <c r="T836" s="12"/>
      <c r="U836" s="12"/>
      <c r="V836" s="12"/>
      <c r="W836" s="12"/>
      <c r="X836" s="12" t="s">
        <v>1562</v>
      </c>
      <c r="Y836" s="12"/>
      <c r="Z836" s="12"/>
      <c r="AA836" s="12"/>
      <c r="AB836" s="12"/>
      <c r="AC836" s="12"/>
      <c r="AD836" s="17"/>
    </row>
    <row r="837" spans="2:30" s="3" customFormat="1" ht="13.5" x14ac:dyDescent="0.25">
      <c r="B837" s="9" t="s">
        <v>1448</v>
      </c>
      <c r="C837" s="25" t="s">
        <v>53</v>
      </c>
      <c r="D837" s="16"/>
      <c r="E837" s="12"/>
      <c r="F837" s="12"/>
      <c r="G837" s="12"/>
      <c r="H837" s="12"/>
      <c r="I837" s="12"/>
      <c r="J837" s="12"/>
      <c r="K837" s="12"/>
      <c r="L837" s="12"/>
      <c r="M837" s="12"/>
      <c r="N837" s="12"/>
      <c r="O837" s="12"/>
      <c r="P837" s="12"/>
      <c r="Q837" s="12"/>
      <c r="R837" s="12"/>
      <c r="S837" s="12"/>
      <c r="T837" s="12"/>
      <c r="U837" s="12"/>
      <c r="V837" s="12"/>
      <c r="W837" s="12"/>
      <c r="X837" s="12" t="s">
        <v>1562</v>
      </c>
      <c r="Y837" s="12"/>
      <c r="Z837" s="12"/>
      <c r="AA837" s="12"/>
      <c r="AB837" s="12"/>
      <c r="AC837" s="12"/>
      <c r="AD837" s="17"/>
    </row>
    <row r="838" spans="2:30" s="3" customFormat="1" ht="324" x14ac:dyDescent="0.25">
      <c r="B838" s="9" t="s">
        <v>1449</v>
      </c>
      <c r="C838" s="25" t="s">
        <v>1450</v>
      </c>
      <c r="D838" s="16"/>
      <c r="E838" s="12"/>
      <c r="F838" s="12"/>
      <c r="G838" s="12"/>
      <c r="H838" s="12"/>
      <c r="I838" s="12"/>
      <c r="J838" s="12"/>
      <c r="K838" s="12" t="str">
        <f>VLOOKUP(B838,'[1]ART 7'!A:E,5,FALSE)</f>
        <v>Ex. Excepto: Instrumentos y aparatos necesarios para medir la capa de ozono y para monitorear, medir y prevenir sismos u otros fenómenos naturales; Alidadas con plancheta, excepto eléctricos o electrónicos; clísimetros.</v>
      </c>
      <c r="L838" s="12"/>
      <c r="M838" s="12"/>
      <c r="N838" s="12"/>
      <c r="O838" s="12"/>
      <c r="P838" s="12"/>
      <c r="Q838" s="12"/>
      <c r="R838" s="12"/>
      <c r="S838" s="12"/>
      <c r="T838" s="12"/>
      <c r="U838" s="12"/>
      <c r="V838" s="12"/>
      <c r="W838" s="12"/>
      <c r="X838" s="12"/>
      <c r="Y838" s="12"/>
      <c r="Z838" s="12"/>
      <c r="AA838" s="12"/>
      <c r="AB838" s="12"/>
      <c r="AC838" s="12"/>
      <c r="AD838" s="17"/>
    </row>
    <row r="839" spans="2:30" s="3" customFormat="1" ht="135" x14ac:dyDescent="0.25">
      <c r="B839" s="9" t="s">
        <v>1451</v>
      </c>
      <c r="C839" s="25" t="s">
        <v>53</v>
      </c>
      <c r="D839" s="16"/>
      <c r="E839" s="12" t="str">
        <f>VLOOKUP(B839,'[1]ART 2 A)'!A:E,5,FALSE)</f>
        <v>Ex.Excepto: Máquinas para dibujar o escuadras universales, aun cuando se presenten con su tablero de dibujo.</v>
      </c>
      <c r="F839" s="12"/>
      <c r="G839" s="12"/>
      <c r="H839" s="12" t="str">
        <f>VLOOKUP(B839,'[1]ART IV'!A:E,5,FALSE)</f>
        <v>Ex. Excepto: Máquinas para dibujar o escuadras universales, aun cuando se presenten con su tablero de dibujo.</v>
      </c>
      <c r="I839" s="12"/>
      <c r="J839" s="12"/>
      <c r="K839" s="12"/>
      <c r="L839" s="12"/>
      <c r="M839" s="12"/>
      <c r="N839" s="12"/>
      <c r="O839" s="12"/>
      <c r="P839" s="12"/>
      <c r="Q839" s="12"/>
      <c r="R839" s="12"/>
      <c r="S839" s="12"/>
      <c r="T839" s="12"/>
      <c r="U839" s="12"/>
      <c r="V839" s="12"/>
      <c r="W839" s="12"/>
      <c r="X839" s="12" t="s">
        <v>1733</v>
      </c>
      <c r="Y839" s="12"/>
      <c r="Z839" s="12"/>
      <c r="AA839" s="12"/>
      <c r="AB839" s="12"/>
      <c r="AC839" s="12"/>
      <c r="AD839" s="17"/>
    </row>
    <row r="840" spans="2:30" s="3" customFormat="1" ht="13.5" x14ac:dyDescent="0.25">
      <c r="B840" s="9" t="s">
        <v>1452</v>
      </c>
      <c r="C840" s="25" t="s">
        <v>53</v>
      </c>
      <c r="D840" s="16"/>
      <c r="E840" s="12" t="str">
        <f>VLOOKUP(B840,'[1]ART 2 A)'!A:E,5,FALSE)</f>
        <v>Ex.</v>
      </c>
      <c r="F840" s="12"/>
      <c r="G840" s="12"/>
      <c r="H840" s="12"/>
      <c r="I840" s="12"/>
      <c r="J840" s="12"/>
      <c r="K840" s="12"/>
      <c r="L840" s="12"/>
      <c r="M840" s="12"/>
      <c r="N840" s="12" t="s">
        <v>1570</v>
      </c>
      <c r="O840" s="12"/>
      <c r="P840" s="12" t="s">
        <v>1570</v>
      </c>
      <c r="Q840" s="12"/>
      <c r="R840" s="12"/>
      <c r="S840" s="12" t="s">
        <v>1562</v>
      </c>
      <c r="T840" s="12"/>
      <c r="U840" s="12"/>
      <c r="V840" s="12"/>
      <c r="W840" s="12"/>
      <c r="X840" s="12" t="s">
        <v>1562</v>
      </c>
      <c r="Y840" s="12"/>
      <c r="Z840" s="12"/>
      <c r="AA840" s="12"/>
      <c r="AB840" s="12"/>
      <c r="AC840" s="12"/>
      <c r="AD840" s="17"/>
    </row>
    <row r="841" spans="2:30" s="3" customFormat="1" ht="40.5" x14ac:dyDescent="0.25">
      <c r="B841" s="9" t="s">
        <v>1453</v>
      </c>
      <c r="C841" s="25" t="s">
        <v>1454</v>
      </c>
      <c r="D841" s="16" t="str">
        <f>VLOOKUP(B841,'[1]ART 1'!A:E,5,FALSE)</f>
        <v>Ex.Excepto: Cintas métricas.</v>
      </c>
      <c r="E841" s="12" t="str">
        <f>VLOOKUP(B841,'[1]ART 2 A)'!A:E,5,FALSE)</f>
        <v>Ex.</v>
      </c>
      <c r="F841" s="12"/>
      <c r="G841" s="12" t="str">
        <f>VLOOKUP(B841,'[1]ART 3'!A:E,5,FALSE)</f>
        <v xml:space="preserve">Ex. </v>
      </c>
      <c r="H841" s="12" t="str">
        <f>VLOOKUP(B841,'[1]ART IV'!A:E,5,FALSE)</f>
        <v xml:space="preserve">Ex. </v>
      </c>
      <c r="I841" s="12"/>
      <c r="J841" s="12"/>
      <c r="K841" s="12" t="str">
        <f>VLOOKUP(B841,'[1]ART 7'!A:E,5,FALSE)</f>
        <v>Ex. Excepto: Cintas métricas.</v>
      </c>
      <c r="L841" s="12"/>
      <c r="M841" s="12"/>
      <c r="N841" s="12" t="s">
        <v>1734</v>
      </c>
      <c r="O841" s="12"/>
      <c r="P841" s="12"/>
      <c r="Q841" s="12"/>
      <c r="R841" s="12"/>
      <c r="S841" s="12"/>
      <c r="T841" s="12"/>
      <c r="U841" s="12"/>
      <c r="V841" s="12"/>
      <c r="W841" s="12"/>
      <c r="X841" s="12" t="s">
        <v>1562</v>
      </c>
      <c r="Y841" s="12"/>
      <c r="Z841" s="12"/>
      <c r="AA841" s="12"/>
      <c r="AB841" s="12"/>
      <c r="AC841" s="12"/>
      <c r="AD841" s="17"/>
    </row>
    <row r="842" spans="2:30" s="3" customFormat="1" ht="27" x14ac:dyDescent="0.25">
      <c r="B842" s="9" t="s">
        <v>1455</v>
      </c>
      <c r="C842" s="25" t="s">
        <v>1456</v>
      </c>
      <c r="D842" s="16"/>
      <c r="E842" s="12" t="str">
        <f>VLOOKUP(B842,'[1]ART 2 A)'!A:E,5,FALSE)</f>
        <v>Ex.</v>
      </c>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7"/>
    </row>
    <row r="843" spans="2:30" s="3" customFormat="1" ht="67.5" x14ac:dyDescent="0.25">
      <c r="B843" s="9" t="s">
        <v>1457</v>
      </c>
      <c r="C843" s="25" t="s">
        <v>1458</v>
      </c>
      <c r="D843" s="16"/>
      <c r="E843" s="12" t="str">
        <f>VLOOKUP(B843,'[1]ART 2 A)'!A:E,5,FALSE)</f>
        <v>Ex.Excepto: Para raquia, lavado de oídos y para ojos.</v>
      </c>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7"/>
    </row>
    <row r="844" spans="2:30" s="3" customFormat="1" ht="13.5" x14ac:dyDescent="0.25">
      <c r="B844" s="9" t="s">
        <v>1459</v>
      </c>
      <c r="C844" s="25" t="s">
        <v>1460</v>
      </c>
      <c r="D844" s="16"/>
      <c r="E844" s="12"/>
      <c r="F844" s="12"/>
      <c r="G844" s="12"/>
      <c r="H844" s="12"/>
      <c r="I844" s="12"/>
      <c r="J844" s="12"/>
      <c r="K844" s="12"/>
      <c r="L844" s="12"/>
      <c r="M844" s="12"/>
      <c r="N844" s="12"/>
      <c r="O844" s="12"/>
      <c r="P844" s="12"/>
      <c r="Q844" s="12"/>
      <c r="R844" s="12" t="s">
        <v>1562</v>
      </c>
      <c r="S844" s="12"/>
      <c r="T844" s="12"/>
      <c r="U844" s="12"/>
      <c r="V844" s="12"/>
      <c r="W844" s="12"/>
      <c r="X844" s="12"/>
      <c r="Y844" s="12"/>
      <c r="Z844" s="12"/>
      <c r="AA844" s="12"/>
      <c r="AB844" s="12"/>
      <c r="AC844" s="12"/>
      <c r="AD844" s="17"/>
    </row>
    <row r="845" spans="2:30" s="3" customFormat="1" ht="13.5" x14ac:dyDescent="0.25">
      <c r="B845" s="9" t="s">
        <v>1461</v>
      </c>
      <c r="C845" s="25" t="s">
        <v>1462</v>
      </c>
      <c r="D845" s="16"/>
      <c r="E845" s="12"/>
      <c r="F845" s="12"/>
      <c r="G845" s="12"/>
      <c r="H845" s="12"/>
      <c r="I845" s="12"/>
      <c r="J845" s="12"/>
      <c r="K845" s="12"/>
      <c r="L845" s="12"/>
      <c r="M845" s="12"/>
      <c r="N845" s="12"/>
      <c r="O845" s="12"/>
      <c r="P845" s="12"/>
      <c r="Q845" s="12"/>
      <c r="R845" s="12" t="s">
        <v>1562</v>
      </c>
      <c r="S845" s="12"/>
      <c r="T845" s="12"/>
      <c r="U845" s="12"/>
      <c r="V845" s="12"/>
      <c r="W845" s="12"/>
      <c r="X845" s="12"/>
      <c r="Y845" s="12"/>
      <c r="Z845" s="12"/>
      <c r="AA845" s="12"/>
      <c r="AB845" s="12"/>
      <c r="AC845" s="12"/>
      <c r="AD845" s="17"/>
    </row>
    <row r="846" spans="2:30" s="3" customFormat="1" ht="13.5" x14ac:dyDescent="0.25">
      <c r="B846" s="9" t="s">
        <v>1463</v>
      </c>
      <c r="C846" s="25" t="s">
        <v>1464</v>
      </c>
      <c r="D846" s="16"/>
      <c r="E846" s="12"/>
      <c r="F846" s="12"/>
      <c r="G846" s="12"/>
      <c r="H846" s="12"/>
      <c r="I846" s="12"/>
      <c r="J846" s="12"/>
      <c r="K846" s="12"/>
      <c r="L846" s="12"/>
      <c r="M846" s="12"/>
      <c r="N846" s="12"/>
      <c r="O846" s="12" t="s">
        <v>1562</v>
      </c>
      <c r="P846" s="12"/>
      <c r="Q846" s="12"/>
      <c r="R846" s="12"/>
      <c r="S846" s="12"/>
      <c r="T846" s="12"/>
      <c r="U846" s="12"/>
      <c r="V846" s="12"/>
      <c r="W846" s="12"/>
      <c r="X846" s="12"/>
      <c r="Y846" s="12"/>
      <c r="Z846" s="12"/>
      <c r="AA846" s="12"/>
      <c r="AB846" s="12"/>
      <c r="AC846" s="12"/>
      <c r="AD846" s="17"/>
    </row>
    <row r="847" spans="2:30" s="3" customFormat="1" ht="13.5" x14ac:dyDescent="0.25">
      <c r="B847" s="9" t="s">
        <v>1465</v>
      </c>
      <c r="C847" s="25" t="s">
        <v>53</v>
      </c>
      <c r="D847" s="16" t="str">
        <f>VLOOKUP(B847,'[1]ART 1'!A:E,5,FALSE)</f>
        <v>Ex.</v>
      </c>
      <c r="E847" s="12" t="str">
        <f>VLOOKUP(B847,'[1]ART 2 A)'!A:E,5,FALSE)</f>
        <v>Ex.</v>
      </c>
      <c r="F847" s="12"/>
      <c r="G847" s="12" t="str">
        <f>VLOOKUP(B847,'[1]ART 3'!A:E,5,FALSE)</f>
        <v xml:space="preserve">Ex. </v>
      </c>
      <c r="H847" s="12"/>
      <c r="I847" s="12"/>
      <c r="J847" s="12"/>
      <c r="K847" s="12"/>
      <c r="L847" s="12"/>
      <c r="M847" s="12"/>
      <c r="N847" s="12"/>
      <c r="O847" s="12" t="s">
        <v>1562</v>
      </c>
      <c r="P847" s="12"/>
      <c r="Q847" s="12"/>
      <c r="R847" s="12"/>
      <c r="S847" s="12"/>
      <c r="T847" s="12"/>
      <c r="U847" s="12"/>
      <c r="V847" s="12"/>
      <c r="W847" s="12"/>
      <c r="X847" s="12" t="s">
        <v>1562</v>
      </c>
      <c r="Y847" s="12"/>
      <c r="Z847" s="12"/>
      <c r="AA847" s="12"/>
      <c r="AB847" s="12"/>
      <c r="AC847" s="12"/>
      <c r="AD847" s="17"/>
    </row>
    <row r="848" spans="2:30" s="3" customFormat="1" ht="13.5" x14ac:dyDescent="0.25">
      <c r="B848" s="9" t="s">
        <v>1466</v>
      </c>
      <c r="C848" s="25" t="s">
        <v>53</v>
      </c>
      <c r="D848" s="16" t="str">
        <f>VLOOKUP(B848,'[1]ART 1'!A:E,5,FALSE)</f>
        <v>Ex.</v>
      </c>
      <c r="E848" s="12" t="str">
        <f>VLOOKUP(B848,'[1]ART 2 A)'!A:E,5,FALSE)</f>
        <v>Ex.</v>
      </c>
      <c r="F848" s="12"/>
      <c r="G848" s="12" t="str">
        <f>VLOOKUP(B848,'[1]ART 3'!A:E,5,FALSE)</f>
        <v xml:space="preserve">Ex. </v>
      </c>
      <c r="H848" s="12" t="str">
        <f>VLOOKUP(B848,'[1]ART IV'!A:E,5,FALSE)</f>
        <v xml:space="preserve">Ex. </v>
      </c>
      <c r="I848" s="12"/>
      <c r="J848" s="12" t="str">
        <f>VLOOKUP(B848,'[1]ART 6'!A:E,5,FALSE)</f>
        <v xml:space="preserve">Ex. </v>
      </c>
      <c r="K848" s="12" t="str">
        <f>VLOOKUP(B848,'[1]ART 7'!A:E,5,FALSE)</f>
        <v xml:space="preserve">5 </v>
      </c>
      <c r="L848" s="12"/>
      <c r="M848" s="12"/>
      <c r="N848" s="12" t="s">
        <v>1562</v>
      </c>
      <c r="O848" s="12" t="s">
        <v>1570</v>
      </c>
      <c r="P848" s="12"/>
      <c r="Q848" s="12" t="s">
        <v>1570</v>
      </c>
      <c r="R848" s="12" t="s">
        <v>1570</v>
      </c>
      <c r="S848" s="12"/>
      <c r="T848" s="12"/>
      <c r="U848" s="12"/>
      <c r="V848" s="12"/>
      <c r="W848" s="12"/>
      <c r="X848" s="12" t="s">
        <v>1562</v>
      </c>
      <c r="Y848" s="12" t="s">
        <v>1562</v>
      </c>
      <c r="Z848" s="12"/>
      <c r="AA848" s="12"/>
      <c r="AB848" s="12"/>
      <c r="AC848" s="12"/>
      <c r="AD848" s="17"/>
    </row>
    <row r="849" spans="2:30" s="3" customFormat="1" ht="13.5" x14ac:dyDescent="0.25">
      <c r="B849" s="9" t="s">
        <v>1467</v>
      </c>
      <c r="C849" s="25" t="s">
        <v>1468</v>
      </c>
      <c r="D849" s="16" t="str">
        <f>VLOOKUP(B849,'[1]ART 1'!A:E,5,FALSE)</f>
        <v>Ex.</v>
      </c>
      <c r="E849" s="12" t="str">
        <f>VLOOKUP(B849,'[1]ART 2 A)'!A:E,5,FALSE)</f>
        <v>Ex.</v>
      </c>
      <c r="F849" s="12"/>
      <c r="G849" s="12"/>
      <c r="H849" s="12"/>
      <c r="I849" s="12"/>
      <c r="J849" s="12"/>
      <c r="K849" s="12"/>
      <c r="L849" s="12"/>
      <c r="M849" s="12"/>
      <c r="N849" s="12"/>
      <c r="O849" s="12" t="s">
        <v>1570</v>
      </c>
      <c r="P849" s="12" t="s">
        <v>1570</v>
      </c>
      <c r="Q849" s="12"/>
      <c r="R849" s="12"/>
      <c r="S849" s="12"/>
      <c r="T849" s="12"/>
      <c r="U849" s="12"/>
      <c r="V849" s="12" t="s">
        <v>1570</v>
      </c>
      <c r="W849" s="12"/>
      <c r="X849" s="12" t="s">
        <v>1562</v>
      </c>
      <c r="Y849" s="12"/>
      <c r="Z849" s="12"/>
      <c r="AA849" s="12"/>
      <c r="AB849" s="12"/>
      <c r="AC849" s="12"/>
      <c r="AD849" s="17"/>
    </row>
    <row r="850" spans="2:30" s="3" customFormat="1" ht="54" x14ac:dyDescent="0.25">
      <c r="B850" s="9" t="s">
        <v>1469</v>
      </c>
      <c r="C850" s="25" t="s">
        <v>1470</v>
      </c>
      <c r="D850" s="16" t="str">
        <f>VLOOKUP(B850,'[1]ART 1'!A:E,5,FALSE)</f>
        <v>Ex.</v>
      </c>
      <c r="E850" s="12" t="str">
        <f>VLOOKUP(B850,'[1]ART 2 A)'!A:E,5,FALSE)</f>
        <v>Ex.</v>
      </c>
      <c r="F850" s="12"/>
      <c r="G850" s="12"/>
      <c r="H850" s="12"/>
      <c r="I850" s="12"/>
      <c r="J850" s="12"/>
      <c r="K850" s="12"/>
      <c r="L850" s="12"/>
      <c r="M850" s="12"/>
      <c r="N850" s="12"/>
      <c r="O850" s="12"/>
      <c r="P850" s="12"/>
      <c r="Q850" s="12"/>
      <c r="R850" s="12"/>
      <c r="S850" s="12"/>
      <c r="T850" s="12" t="s">
        <v>1562</v>
      </c>
      <c r="U850" s="12"/>
      <c r="V850" s="12"/>
      <c r="W850" s="12"/>
      <c r="X850" s="12" t="s">
        <v>1562</v>
      </c>
      <c r="Y850" s="12"/>
      <c r="Z850" s="12"/>
      <c r="AA850" s="12"/>
      <c r="AB850" s="12"/>
      <c r="AC850" s="12"/>
      <c r="AD850" s="17"/>
    </row>
    <row r="851" spans="2:30" s="3" customFormat="1" ht="27" x14ac:dyDescent="0.25">
      <c r="B851" s="9" t="s">
        <v>1471</v>
      </c>
      <c r="C851" s="25" t="s">
        <v>1472</v>
      </c>
      <c r="D851" s="16" t="str">
        <f>VLOOKUP(B851,'[1]ART 1'!A:E,5,FALSE)</f>
        <v>Ex.</v>
      </c>
      <c r="E851" s="12" t="str">
        <f>VLOOKUP(B851,'[1]ART 2 A)'!A:E,5,FALSE)</f>
        <v>Ex.</v>
      </c>
      <c r="F851" s="12"/>
      <c r="G851" s="12" t="str">
        <f>VLOOKUP(B851,'[1]ART 3'!A:E,5,FALSE)</f>
        <v xml:space="preserve">Ex. </v>
      </c>
      <c r="H851" s="12"/>
      <c r="I851" s="12"/>
      <c r="J851" s="12"/>
      <c r="K851" s="12"/>
      <c r="L851" s="12"/>
      <c r="M851" s="12"/>
      <c r="N851" s="12"/>
      <c r="O851" s="12"/>
      <c r="P851" s="12"/>
      <c r="Q851" s="12"/>
      <c r="R851" s="12"/>
      <c r="S851" s="12"/>
      <c r="T851" s="12"/>
      <c r="U851" s="12" t="s">
        <v>1570</v>
      </c>
      <c r="V851" s="12" t="s">
        <v>1570</v>
      </c>
      <c r="W851" s="12"/>
      <c r="X851" s="12" t="s">
        <v>1562</v>
      </c>
      <c r="Y851" s="12"/>
      <c r="Z851" s="12"/>
      <c r="AA851" s="12"/>
      <c r="AB851" s="12"/>
      <c r="AC851" s="12"/>
      <c r="AD851" s="17"/>
    </row>
    <row r="852" spans="2:30" s="3" customFormat="1" ht="54" x14ac:dyDescent="0.25">
      <c r="B852" s="9" t="s">
        <v>1473</v>
      </c>
      <c r="C852" s="25" t="s">
        <v>1474</v>
      </c>
      <c r="D852" s="16" t="str">
        <f>VLOOKUP(B852,'[1]ART 1'!A:E,5,FALSE)</f>
        <v>Ex.</v>
      </c>
      <c r="E852" s="12" t="str">
        <f>VLOOKUP(B852,'[1]ART 2 A)'!A:E,5,FALSE)</f>
        <v>Ex.</v>
      </c>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7"/>
    </row>
    <row r="853" spans="2:30" s="3" customFormat="1" ht="13.5" x14ac:dyDescent="0.25">
      <c r="B853" s="9" t="s">
        <v>1475</v>
      </c>
      <c r="C853" s="25" t="s">
        <v>1476</v>
      </c>
      <c r="D853" s="16"/>
      <c r="E853" s="12" t="str">
        <f>VLOOKUP(B853,'[1]ART 2 A)'!A:E,5,FALSE)</f>
        <v>Ex.</v>
      </c>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7"/>
    </row>
    <row r="854" spans="2:30" s="3" customFormat="1" ht="27" x14ac:dyDescent="0.25">
      <c r="B854" s="9" t="s">
        <v>1477</v>
      </c>
      <c r="C854" s="25" t="s">
        <v>1478</v>
      </c>
      <c r="D854" s="16" t="str">
        <f>VLOOKUP(B854,'[1]ART 1'!A:E,5,FALSE)</f>
        <v>Ex.</v>
      </c>
      <c r="E854" s="12" t="str">
        <f>VLOOKUP(B854,'[1]ART 2 A)'!A:E,5,FALSE)</f>
        <v>Ex.</v>
      </c>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7"/>
    </row>
    <row r="855" spans="2:30" s="3" customFormat="1" ht="13.5" x14ac:dyDescent="0.25">
      <c r="B855" s="9" t="s">
        <v>1479</v>
      </c>
      <c r="C855" s="25" t="s">
        <v>1480</v>
      </c>
      <c r="D855" s="16" t="str">
        <f>VLOOKUP(B855,'[1]ART 1'!A:E,5,FALSE)</f>
        <v>Ex.</v>
      </c>
      <c r="E855" s="12" t="str">
        <f>VLOOKUP(B855,'[1]ART 2 A)'!A:E,5,FALSE)</f>
        <v>Ex.</v>
      </c>
      <c r="F855" s="12"/>
      <c r="G855" s="12"/>
      <c r="H855" s="12"/>
      <c r="I855" s="12"/>
      <c r="J855" s="12"/>
      <c r="K855" s="12" t="str">
        <f>VLOOKUP(B855,'[1]ART 7'!A:E,5,FALSE)</f>
        <v xml:space="preserve">Ex. </v>
      </c>
      <c r="L855" s="12" t="str">
        <f>VLOOKUP(B855,'[1]ART 8'!A:E,5,FALSE)</f>
        <v xml:space="preserve">Ex. </v>
      </c>
      <c r="M855" s="12"/>
      <c r="N855" s="12" t="s">
        <v>1562</v>
      </c>
      <c r="O855" s="12" t="s">
        <v>1562</v>
      </c>
      <c r="P855" s="12"/>
      <c r="Q855" s="12"/>
      <c r="R855" s="12"/>
      <c r="S855" s="12"/>
      <c r="T855" s="12"/>
      <c r="U855" s="12"/>
      <c r="V855" s="12"/>
      <c r="W855" s="12"/>
      <c r="X855" s="12"/>
      <c r="Y855" s="12"/>
      <c r="Z855" s="12"/>
      <c r="AA855" s="12"/>
      <c r="AB855" s="12"/>
      <c r="AC855" s="12"/>
      <c r="AD855" s="17"/>
    </row>
    <row r="856" spans="2:30" s="3" customFormat="1" ht="13.5" x14ac:dyDescent="0.25">
      <c r="B856" s="9" t="s">
        <v>1481</v>
      </c>
      <c r="C856" s="25" t="s">
        <v>1482</v>
      </c>
      <c r="D856" s="16" t="str">
        <f>VLOOKUP(B856,'[1]ART 1'!A:E,5,FALSE)</f>
        <v>Ex.</v>
      </c>
      <c r="E856" s="12" t="str">
        <f>VLOOKUP(B856,'[1]ART 2 A)'!A:E,5,FALSE)</f>
        <v>Ex.</v>
      </c>
      <c r="F856" s="12"/>
      <c r="G856" s="12" t="str">
        <f>VLOOKUP(B856,'[1]ART 3'!A:E,5,FALSE)</f>
        <v xml:space="preserve">Ex. </v>
      </c>
      <c r="H856" s="12"/>
      <c r="I856" s="12"/>
      <c r="J856" s="12"/>
      <c r="K856" s="12"/>
      <c r="L856" s="12"/>
      <c r="M856" s="12"/>
      <c r="N856" s="12"/>
      <c r="O856" s="12" t="s">
        <v>1562</v>
      </c>
      <c r="P856" s="12"/>
      <c r="Q856" s="12"/>
      <c r="R856" s="12"/>
      <c r="S856" s="12"/>
      <c r="T856" s="12"/>
      <c r="U856" s="12"/>
      <c r="V856" s="12"/>
      <c r="W856" s="12"/>
      <c r="X856" s="12" t="s">
        <v>1562</v>
      </c>
      <c r="Y856" s="12"/>
      <c r="Z856" s="12"/>
      <c r="AA856" s="12"/>
      <c r="AB856" s="12"/>
      <c r="AC856" s="12"/>
      <c r="AD856" s="17"/>
    </row>
    <row r="857" spans="2:30" s="3" customFormat="1" ht="54" x14ac:dyDescent="0.25">
      <c r="B857" s="9" t="s">
        <v>1483</v>
      </c>
      <c r="C857" s="25" t="s">
        <v>1484</v>
      </c>
      <c r="D857" s="16" t="str">
        <f>VLOOKUP(B857,'[1]ART 1'!A:E,5,FALSE)</f>
        <v>5</v>
      </c>
      <c r="E857" s="12" t="str">
        <f>VLOOKUP(B857,'[1]ART 2 A)'!A:E,5,FALSE)</f>
        <v>Ex.</v>
      </c>
      <c r="F857" s="12"/>
      <c r="G857" s="12" t="str">
        <f>VLOOKUP(B857,'[1]ART 3'!A:E,5,FALSE)</f>
        <v xml:space="preserve">Ex. </v>
      </c>
      <c r="H857" s="12"/>
      <c r="I857" s="12"/>
      <c r="J857" s="12"/>
      <c r="K857" s="12"/>
      <c r="L857" s="12"/>
      <c r="M857" s="12"/>
      <c r="N857" s="12"/>
      <c r="O857" s="12"/>
      <c r="P857" s="12"/>
      <c r="Q857" s="12"/>
      <c r="R857" s="12"/>
      <c r="S857" s="12"/>
      <c r="T857" s="12"/>
      <c r="U857" s="12"/>
      <c r="V857" s="12"/>
      <c r="W857" s="12"/>
      <c r="X857" s="12" t="s">
        <v>1562</v>
      </c>
      <c r="Y857" s="12"/>
      <c r="Z857" s="12"/>
      <c r="AA857" s="12"/>
      <c r="AB857" s="12"/>
      <c r="AC857" s="12"/>
      <c r="AD857" s="17"/>
    </row>
    <row r="858" spans="2:30" s="3" customFormat="1" ht="54" x14ac:dyDescent="0.25">
      <c r="B858" s="9" t="s">
        <v>1485</v>
      </c>
      <c r="C858" s="25" t="s">
        <v>1486</v>
      </c>
      <c r="D858" s="16"/>
      <c r="E858" s="12" t="str">
        <f>VLOOKUP(B858,'[1]ART 2 A)'!A:E,5,FALSE)</f>
        <v>Ex.</v>
      </c>
      <c r="F858" s="12"/>
      <c r="G858" s="12"/>
      <c r="H858" s="12"/>
      <c r="I858" s="12"/>
      <c r="J858" s="12"/>
      <c r="K858" s="12" t="str">
        <f>VLOOKUP(B858,'[1]ART 7'!A:E,5,FALSE)</f>
        <v>Ex. Excepto: Para estufas y caloríficos.</v>
      </c>
      <c r="L858" s="12" t="str">
        <f>VLOOKUP(B858,'[1]ART 8'!A:E,5,FALSE)</f>
        <v>Ex. Excepto: Para estufas y caloríficos.</v>
      </c>
      <c r="M858" s="12" t="str">
        <f>VLOOKUP(B858,'[1]ART 9'!A:E,5,FALSE)</f>
        <v>Ex. Excepto: Para estufas y caloríficos.</v>
      </c>
      <c r="N858" s="12" t="s">
        <v>1735</v>
      </c>
      <c r="O858" s="12"/>
      <c r="P858" s="12"/>
      <c r="Q858" s="12"/>
      <c r="R858" s="12"/>
      <c r="S858" s="12" t="s">
        <v>1735</v>
      </c>
      <c r="T858" s="12"/>
      <c r="U858" s="12"/>
      <c r="V858" s="12"/>
      <c r="W858" s="12"/>
      <c r="X858" s="12" t="s">
        <v>1735</v>
      </c>
      <c r="Y858" s="12"/>
      <c r="Z858" s="12"/>
      <c r="AA858" s="12"/>
      <c r="AB858" s="12"/>
      <c r="AC858" s="12"/>
      <c r="AD858" s="17"/>
    </row>
    <row r="859" spans="2:30" s="3" customFormat="1" ht="13.5" x14ac:dyDescent="0.25">
      <c r="B859" s="9" t="s">
        <v>1487</v>
      </c>
      <c r="C859" s="25" t="s">
        <v>1488</v>
      </c>
      <c r="D859" s="16" t="str">
        <f>VLOOKUP(B859,'[1]ART 1'!A:E,5,FALSE)</f>
        <v>Ex.</v>
      </c>
      <c r="E859" s="12" t="str">
        <f>VLOOKUP(B859,'[1]ART 2 A)'!A:E,5,FALSE)</f>
        <v>Ex.</v>
      </c>
      <c r="F859" s="12"/>
      <c r="G859" s="12" t="str">
        <f>VLOOKUP(B859,'[1]ART 3'!A:E,5,FALSE)</f>
        <v xml:space="preserve">Ex. </v>
      </c>
      <c r="H859" s="12"/>
      <c r="I859" s="12"/>
      <c r="J859" s="12"/>
      <c r="K859" s="12"/>
      <c r="L859" s="12"/>
      <c r="M859" s="12"/>
      <c r="N859" s="12"/>
      <c r="O859" s="12" t="s">
        <v>1562</v>
      </c>
      <c r="P859" s="12"/>
      <c r="Q859" s="12" t="s">
        <v>1562</v>
      </c>
      <c r="R859" s="12"/>
      <c r="S859" s="12"/>
      <c r="T859" s="12"/>
      <c r="U859" s="12"/>
      <c r="V859" s="12"/>
      <c r="W859" s="12"/>
      <c r="X859" s="12" t="s">
        <v>1562</v>
      </c>
      <c r="Y859" s="12" t="s">
        <v>1570</v>
      </c>
      <c r="Z859" s="12"/>
      <c r="AA859" s="12"/>
      <c r="AB859" s="12"/>
      <c r="AC859" s="12" t="s">
        <v>1562</v>
      </c>
      <c r="AD859" s="17"/>
    </row>
    <row r="860" spans="2:30" s="3" customFormat="1" ht="121.5" x14ac:dyDescent="0.25">
      <c r="B860" s="9" t="s">
        <v>1489</v>
      </c>
      <c r="C860" s="25" t="s">
        <v>1490</v>
      </c>
      <c r="D860" s="16" t="str">
        <f>VLOOKUP(B860,'[1]ART 1'!A:E,5,FALSE)</f>
        <v>Ex.</v>
      </c>
      <c r="E860" s="12" t="str">
        <f>VLOOKUP(B860,'[1]ART 2 A)'!A:E,5,FALSE)</f>
        <v>Ex.</v>
      </c>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7"/>
    </row>
    <row r="861" spans="2:30" s="3" customFormat="1" ht="40.5" x14ac:dyDescent="0.25">
      <c r="B861" s="9" t="s">
        <v>1491</v>
      </c>
      <c r="C861" s="25" t="s">
        <v>1492</v>
      </c>
      <c r="D861" s="16" t="str">
        <f>VLOOKUP(B861,'[1]ART 1'!A:E,5,FALSE)</f>
        <v>Ex.</v>
      </c>
      <c r="E861" s="12" t="str">
        <f>VLOOKUP(B861,'[1]ART 2 A)'!A:E,5,FALSE)</f>
        <v>Ex.</v>
      </c>
      <c r="F861" s="12"/>
      <c r="G861" s="12"/>
      <c r="H861" s="12"/>
      <c r="I861" s="12"/>
      <c r="J861" s="12"/>
      <c r="K861" s="12"/>
      <c r="L861" s="12"/>
      <c r="M861" s="12"/>
      <c r="N861" s="12"/>
      <c r="O861" s="12"/>
      <c r="P861" s="12"/>
      <c r="Q861" s="12"/>
      <c r="R861" s="12"/>
      <c r="S861" s="12"/>
      <c r="T861" s="12"/>
      <c r="U861" s="12"/>
      <c r="V861" s="12"/>
      <c r="W861" s="12"/>
      <c r="X861" s="12" t="s">
        <v>1562</v>
      </c>
      <c r="Y861" s="12"/>
      <c r="Z861" s="12"/>
      <c r="AA861" s="12"/>
      <c r="AB861" s="12"/>
      <c r="AC861" s="12"/>
      <c r="AD861" s="17"/>
    </row>
    <row r="862" spans="2:30" s="3" customFormat="1" ht="13.5" x14ac:dyDescent="0.25">
      <c r="B862" s="9" t="s">
        <v>1493</v>
      </c>
      <c r="C862" s="25" t="s">
        <v>53</v>
      </c>
      <c r="D862" s="16" t="str">
        <f>VLOOKUP(B862,'[1]ART 1'!A:E,5,FALSE)</f>
        <v>Ex.</v>
      </c>
      <c r="E862" s="12" t="str">
        <f>VLOOKUP(B862,'[1]ART 2 A)'!A:E,5,FALSE)</f>
        <v>Ex.</v>
      </c>
      <c r="F862" s="12"/>
      <c r="G862" s="12"/>
      <c r="H862" s="12"/>
      <c r="I862" s="12"/>
      <c r="J862" s="12"/>
      <c r="K862" s="12"/>
      <c r="L862" s="12" t="str">
        <f>VLOOKUP(B862,'[1]ART 8'!A:E,5,FALSE)</f>
        <v xml:space="preserve">Ex. </v>
      </c>
      <c r="M862" s="12" t="str">
        <f>VLOOKUP(B862,'[1]ART 9'!A:E,5,FALSE)</f>
        <v xml:space="preserve">Ex. </v>
      </c>
      <c r="N862" s="12"/>
      <c r="O862" s="12"/>
      <c r="P862" s="12"/>
      <c r="Q862" s="12"/>
      <c r="R862" s="12"/>
      <c r="S862" s="12"/>
      <c r="T862" s="12"/>
      <c r="U862" s="12"/>
      <c r="V862" s="12"/>
      <c r="W862" s="12"/>
      <c r="X862" s="12" t="s">
        <v>1562</v>
      </c>
      <c r="Y862" s="12"/>
      <c r="Z862" s="12"/>
      <c r="AA862" s="12"/>
      <c r="AB862" s="12"/>
      <c r="AC862" s="12"/>
      <c r="AD862" s="17"/>
    </row>
    <row r="863" spans="2:30" s="3" customFormat="1" ht="13.5" x14ac:dyDescent="0.25">
      <c r="B863" s="9" t="s">
        <v>1494</v>
      </c>
      <c r="C863" s="25" t="s">
        <v>1495</v>
      </c>
      <c r="D863" s="16"/>
      <c r="E863" s="12"/>
      <c r="F863" s="12"/>
      <c r="G863" s="12"/>
      <c r="H863" s="12" t="str">
        <f>VLOOKUP(B863,'[1]ART IV'!A:E,5,FALSE)</f>
        <v xml:space="preserve">Ex. </v>
      </c>
      <c r="I863" s="12"/>
      <c r="J863" s="12"/>
      <c r="K863" s="12"/>
      <c r="L863" s="12"/>
      <c r="M863" s="12"/>
      <c r="N863" s="12"/>
      <c r="O863" s="12"/>
      <c r="P863" s="12"/>
      <c r="Q863" s="12"/>
      <c r="R863" s="12"/>
      <c r="S863" s="12"/>
      <c r="T863" s="12"/>
      <c r="U863" s="12"/>
      <c r="V863" s="12"/>
      <c r="W863" s="12"/>
      <c r="X863" s="12"/>
      <c r="Y863" s="12"/>
      <c r="Z863" s="12"/>
      <c r="AA863" s="12"/>
      <c r="AB863" s="12"/>
      <c r="AC863" s="12"/>
      <c r="AD863" s="17"/>
    </row>
    <row r="864" spans="2:30" s="3" customFormat="1" ht="13.5" x14ac:dyDescent="0.25">
      <c r="B864" s="9" t="s">
        <v>1496</v>
      </c>
      <c r="C864" s="25" t="s">
        <v>53</v>
      </c>
      <c r="D864" s="16"/>
      <c r="E864" s="12"/>
      <c r="F864" s="12"/>
      <c r="G864" s="12"/>
      <c r="H864" s="12" t="str">
        <f>VLOOKUP(B864,'[1]ART IV'!A:E,5,FALSE)</f>
        <v xml:space="preserve">Ex. </v>
      </c>
      <c r="I864" s="12"/>
      <c r="J864" s="12"/>
      <c r="K864" s="12"/>
      <c r="L864" s="12"/>
      <c r="M864" s="12"/>
      <c r="N864" s="12"/>
      <c r="O864" s="12"/>
      <c r="P864" s="12"/>
      <c r="Q864" s="12"/>
      <c r="R864" s="12"/>
      <c r="S864" s="12"/>
      <c r="T864" s="12"/>
      <c r="U864" s="12"/>
      <c r="V864" s="12"/>
      <c r="W864" s="12"/>
      <c r="X864" s="12"/>
      <c r="Y864" s="12"/>
      <c r="Z864" s="12"/>
      <c r="AA864" s="12"/>
      <c r="AB864" s="12"/>
      <c r="AC864" s="12"/>
      <c r="AD864" s="17"/>
    </row>
    <row r="865" spans="2:30" s="3" customFormat="1" ht="13.5" x14ac:dyDescent="0.25">
      <c r="B865" s="10" t="s">
        <v>1497</v>
      </c>
      <c r="C865" s="25" t="s">
        <v>1498</v>
      </c>
      <c r="D865" s="16"/>
      <c r="E865" s="12"/>
      <c r="F865" s="12"/>
      <c r="G865" s="12"/>
      <c r="H865" s="12" t="str">
        <f>VLOOKUP(B865,'[1]ART IV'!A:E,5,FALSE)</f>
        <v xml:space="preserve">Ex. </v>
      </c>
      <c r="I865" s="12"/>
      <c r="J865" s="12"/>
      <c r="K865" s="12"/>
      <c r="L865" s="12"/>
      <c r="M865" s="12"/>
      <c r="N865" s="12"/>
      <c r="O865" s="12"/>
      <c r="P865" s="12"/>
      <c r="Q865" s="12"/>
      <c r="R865" s="12"/>
      <c r="S865" s="12" t="s">
        <v>1562</v>
      </c>
      <c r="T865" s="12"/>
      <c r="U865" s="12"/>
      <c r="V865" s="12"/>
      <c r="W865" s="12"/>
      <c r="X865" s="12"/>
      <c r="Y865" s="12"/>
      <c r="Z865" s="12"/>
      <c r="AA865" s="12"/>
      <c r="AB865" s="12"/>
      <c r="AC865" s="12"/>
      <c r="AD865" s="17"/>
    </row>
    <row r="866" spans="2:30" s="3" customFormat="1" ht="13.5" x14ac:dyDescent="0.25">
      <c r="B866" s="10" t="s">
        <v>1499</v>
      </c>
      <c r="C866" s="25" t="s">
        <v>53</v>
      </c>
      <c r="D866" s="16"/>
      <c r="E866" s="12"/>
      <c r="F866" s="12"/>
      <c r="G866" s="12"/>
      <c r="H866" s="12" t="str">
        <f>VLOOKUP(B866,'[1]ART IV'!A:E,5,FALSE)</f>
        <v xml:space="preserve">Ex. </v>
      </c>
      <c r="I866" s="12"/>
      <c r="J866" s="12"/>
      <c r="K866" s="12"/>
      <c r="L866" s="12"/>
      <c r="M866" s="12"/>
      <c r="N866" s="12"/>
      <c r="O866" s="12"/>
      <c r="P866" s="12"/>
      <c r="Q866" s="12"/>
      <c r="R866" s="12"/>
      <c r="S866" s="12" t="s">
        <v>1562</v>
      </c>
      <c r="T866" s="12"/>
      <c r="U866" s="12"/>
      <c r="V866" s="12"/>
      <c r="W866" s="12"/>
      <c r="X866" s="12" t="s">
        <v>1562</v>
      </c>
      <c r="Y866" s="12"/>
      <c r="Z866" s="12"/>
      <c r="AA866" s="12"/>
      <c r="AB866" s="12"/>
      <c r="AC866" s="12"/>
      <c r="AD866" s="17"/>
    </row>
    <row r="867" spans="2:30" s="3" customFormat="1" ht="13.5" x14ac:dyDescent="0.25">
      <c r="B867" s="10" t="s">
        <v>1500</v>
      </c>
      <c r="C867" s="25" t="s">
        <v>1501</v>
      </c>
      <c r="D867" s="16"/>
      <c r="E867" s="12"/>
      <c r="F867" s="12"/>
      <c r="G867" s="12"/>
      <c r="H867" s="12"/>
      <c r="I867" s="12"/>
      <c r="J867" s="12"/>
      <c r="K867" s="12"/>
      <c r="L867" s="12"/>
      <c r="M867" s="12"/>
      <c r="N867" s="12"/>
      <c r="O867" s="12"/>
      <c r="P867" s="12"/>
      <c r="Q867" s="12"/>
      <c r="R867" s="12"/>
      <c r="S867" s="12"/>
      <c r="T867" s="12"/>
      <c r="U867" s="12"/>
      <c r="V867" s="12"/>
      <c r="W867" s="12"/>
      <c r="X867" s="12" t="s">
        <v>1562</v>
      </c>
      <c r="Y867" s="12"/>
      <c r="Z867" s="12"/>
      <c r="AA867" s="12"/>
      <c r="AB867" s="12"/>
      <c r="AC867" s="12"/>
      <c r="AD867" s="17"/>
    </row>
    <row r="868" spans="2:30" s="3" customFormat="1" ht="13.5" x14ac:dyDescent="0.25">
      <c r="B868" s="10" t="s">
        <v>1502</v>
      </c>
      <c r="C868" s="25" t="s">
        <v>1503</v>
      </c>
      <c r="D868" s="16"/>
      <c r="E868" s="12"/>
      <c r="F868" s="12"/>
      <c r="G868" s="12"/>
      <c r="H868" s="12" t="str">
        <f>VLOOKUP(B868,'[1]ART IV'!A:E,5,FALSE)</f>
        <v xml:space="preserve">Ex. </v>
      </c>
      <c r="I868" s="12"/>
      <c r="J868" s="12"/>
      <c r="K868" s="12"/>
      <c r="L868" s="12"/>
      <c r="M868" s="12"/>
      <c r="N868" s="12"/>
      <c r="O868" s="12"/>
      <c r="P868" s="12"/>
      <c r="Q868" s="12"/>
      <c r="R868" s="12"/>
      <c r="S868" s="12"/>
      <c r="T868" s="12"/>
      <c r="U868" s="12"/>
      <c r="V868" s="12"/>
      <c r="W868" s="12"/>
      <c r="X868" s="12" t="s">
        <v>1562</v>
      </c>
      <c r="Y868" s="12"/>
      <c r="Z868" s="12"/>
      <c r="AA868" s="12"/>
      <c r="AB868" s="12"/>
      <c r="AC868" s="12"/>
      <c r="AD868" s="17"/>
    </row>
    <row r="869" spans="2:30" s="3" customFormat="1" ht="54" x14ac:dyDescent="0.25">
      <c r="B869" s="10" t="s">
        <v>1504</v>
      </c>
      <c r="C869" s="25" t="s">
        <v>1505</v>
      </c>
      <c r="D869" s="16"/>
      <c r="E869" s="12"/>
      <c r="F869" s="12"/>
      <c r="G869" s="12"/>
      <c r="H869" s="12" t="str">
        <f>VLOOKUP(B869,'[1]ART IV'!A:E,5,FALSE)</f>
        <v xml:space="preserve">Ex. </v>
      </c>
      <c r="I869" s="12"/>
      <c r="J869" s="12"/>
      <c r="K869" s="12"/>
      <c r="L869" s="12"/>
      <c r="M869" s="12"/>
      <c r="N869" s="12"/>
      <c r="O869" s="12"/>
      <c r="P869" s="12"/>
      <c r="Q869" s="12"/>
      <c r="R869" s="12"/>
      <c r="S869" s="12"/>
      <c r="T869" s="12"/>
      <c r="U869" s="12"/>
      <c r="V869" s="12"/>
      <c r="W869" s="12"/>
      <c r="X869" s="12" t="s">
        <v>1562</v>
      </c>
      <c r="Y869" s="12"/>
      <c r="Z869" s="12"/>
      <c r="AA869" s="12"/>
      <c r="AB869" s="12"/>
      <c r="AC869" s="12"/>
      <c r="AD869" s="17"/>
    </row>
    <row r="870" spans="2:30" s="3" customFormat="1" ht="27" x14ac:dyDescent="0.25">
      <c r="B870" s="10" t="s">
        <v>1506</v>
      </c>
      <c r="C870" s="25" t="s">
        <v>1507</v>
      </c>
      <c r="D870" s="16"/>
      <c r="E870" s="12"/>
      <c r="F870" s="12"/>
      <c r="G870" s="12"/>
      <c r="H870" s="12"/>
      <c r="I870" s="12"/>
      <c r="J870" s="12"/>
      <c r="K870" s="12"/>
      <c r="L870" s="12"/>
      <c r="M870" s="12"/>
      <c r="N870" s="12"/>
      <c r="O870" s="12"/>
      <c r="P870" s="12"/>
      <c r="Q870" s="12"/>
      <c r="R870" s="12"/>
      <c r="S870" s="12"/>
      <c r="T870" s="12"/>
      <c r="U870" s="12"/>
      <c r="V870" s="12"/>
      <c r="W870" s="12"/>
      <c r="X870" s="12" t="s">
        <v>1562</v>
      </c>
      <c r="Y870" s="12"/>
      <c r="Z870" s="12"/>
      <c r="AA870" s="12"/>
      <c r="AB870" s="12"/>
      <c r="AC870" s="12"/>
      <c r="AD870" s="17"/>
    </row>
    <row r="871" spans="2:30" s="3" customFormat="1" ht="13.5" x14ac:dyDescent="0.25">
      <c r="B871" s="10" t="s">
        <v>1508</v>
      </c>
      <c r="C871" s="25" t="s">
        <v>53</v>
      </c>
      <c r="D871" s="16"/>
      <c r="E871" s="12" t="str">
        <f>VLOOKUP(B871,'[1]ART 2 A)'!A:E,5,FALSE)</f>
        <v>Ex.</v>
      </c>
      <c r="F871" s="12"/>
      <c r="G871" s="12"/>
      <c r="H871" s="12" t="str">
        <f>VLOOKUP(B871,'[1]ART IV'!A:E,5,FALSE)</f>
        <v xml:space="preserve">Ex. </v>
      </c>
      <c r="I871" s="12"/>
      <c r="J871" s="12"/>
      <c r="K871" s="12"/>
      <c r="L871" s="12"/>
      <c r="M871" s="12"/>
      <c r="N871" s="12"/>
      <c r="O871" s="12"/>
      <c r="P871" s="12"/>
      <c r="Q871" s="12"/>
      <c r="R871" s="12"/>
      <c r="S871" s="12"/>
      <c r="T871" s="12"/>
      <c r="U871" s="12"/>
      <c r="V871" s="12"/>
      <c r="W871" s="12"/>
      <c r="X871" s="12" t="s">
        <v>1562</v>
      </c>
      <c r="Y871" s="12"/>
      <c r="Z871" s="12"/>
      <c r="AA871" s="12"/>
      <c r="AB871" s="12"/>
      <c r="AC871" s="12"/>
      <c r="AD871" s="17"/>
    </row>
    <row r="872" spans="2:30" s="3" customFormat="1" ht="310.5" x14ac:dyDescent="0.25">
      <c r="B872" s="10" t="s">
        <v>1509</v>
      </c>
      <c r="C872" s="25" t="s">
        <v>1510</v>
      </c>
      <c r="D872" s="16"/>
      <c r="E872" s="12" t="str">
        <f>VLOOKUP(B872,'[1]ART 2 A)'!A:E,5,FALSE)</f>
        <v>Ex.Excepto: Atriles y llamados “estaciones de trabajo”, reconocibles como diseñados para alojar un sistema de cómputo personal, conteniendo por lo menos: una cubierta para monitor, una cubierta para teclado y una cubierta para la unidad central de proceso.</v>
      </c>
      <c r="F872" s="12"/>
      <c r="G872" s="12"/>
      <c r="H872" s="12" t="str">
        <f>VLOOKUP(B872,'[1]ART IV'!A:E,5,FALSE)</f>
        <v>Ex. Excepto: Atriles y llamados “estaciones de trabajo”, reconocibles como diseñados para alojar un sistema de cómputo personal, conteniendo por lo menos: una cubierta para monitor, una cubierta para teclado y una cubierta para la unidad central de proceso.</v>
      </c>
      <c r="I872" s="12"/>
      <c r="J872" s="12"/>
      <c r="K872" s="12"/>
      <c r="L872" s="12"/>
      <c r="M872" s="12"/>
      <c r="N872" s="12"/>
      <c r="O872" s="12"/>
      <c r="P872" s="12"/>
      <c r="Q872" s="12"/>
      <c r="R872" s="12"/>
      <c r="S872" s="12"/>
      <c r="T872" s="12"/>
      <c r="U872" s="12"/>
      <c r="V872" s="12"/>
      <c r="W872" s="12"/>
      <c r="X872" s="12"/>
      <c r="Y872" s="12"/>
      <c r="Z872" s="12"/>
      <c r="AA872" s="12"/>
      <c r="AB872" s="12"/>
      <c r="AC872" s="12"/>
      <c r="AD872" s="17"/>
    </row>
    <row r="873" spans="2:30" s="3" customFormat="1" ht="27" x14ac:dyDescent="0.25">
      <c r="B873" s="10" t="s">
        <v>1511</v>
      </c>
      <c r="C873" s="25" t="s">
        <v>1512</v>
      </c>
      <c r="D873" s="16"/>
      <c r="E873" s="12"/>
      <c r="F873" s="12"/>
      <c r="G873" s="12"/>
      <c r="H873" s="12"/>
      <c r="I873" s="12"/>
      <c r="J873" s="12"/>
      <c r="K873" s="12"/>
      <c r="L873" s="12"/>
      <c r="M873" s="12"/>
      <c r="N873" s="12"/>
      <c r="O873" s="12"/>
      <c r="P873" s="12"/>
      <c r="Q873" s="12"/>
      <c r="R873" s="12"/>
      <c r="S873" s="12"/>
      <c r="T873" s="12"/>
      <c r="U873" s="12"/>
      <c r="V873" s="12"/>
      <c r="W873" s="12"/>
      <c r="X873" s="12" t="s">
        <v>1736</v>
      </c>
      <c r="Y873" s="12"/>
      <c r="Z873" s="12"/>
      <c r="AA873" s="12"/>
      <c r="AB873" s="12"/>
      <c r="AC873" s="12"/>
      <c r="AD873" s="17"/>
    </row>
    <row r="874" spans="2:30" s="3" customFormat="1" ht="13.5" x14ac:dyDescent="0.25">
      <c r="B874" s="10" t="s">
        <v>1513</v>
      </c>
      <c r="C874" s="25" t="s">
        <v>1514</v>
      </c>
      <c r="D874" s="16"/>
      <c r="E874" s="12"/>
      <c r="F874" s="12"/>
      <c r="G874" s="12"/>
      <c r="H874" s="12"/>
      <c r="I874" s="12"/>
      <c r="J874" s="12"/>
      <c r="K874" s="12"/>
      <c r="L874" s="12"/>
      <c r="M874" s="12"/>
      <c r="N874" s="12"/>
      <c r="O874" s="12"/>
      <c r="P874" s="12"/>
      <c r="Q874" s="12"/>
      <c r="R874" s="12"/>
      <c r="S874" s="12"/>
      <c r="T874" s="12"/>
      <c r="U874" s="12"/>
      <c r="V874" s="12"/>
      <c r="W874" s="12"/>
      <c r="X874" s="12" t="s">
        <v>1562</v>
      </c>
      <c r="Y874" s="12"/>
      <c r="Z874" s="12"/>
      <c r="AA874" s="12"/>
      <c r="AB874" s="12"/>
      <c r="AC874" s="12"/>
      <c r="AD874" s="17"/>
    </row>
    <row r="875" spans="2:30" s="3" customFormat="1" ht="40.5" x14ac:dyDescent="0.25">
      <c r="B875" s="10" t="s">
        <v>1515</v>
      </c>
      <c r="C875" s="25" t="s">
        <v>1516</v>
      </c>
      <c r="D875" s="16"/>
      <c r="E875" s="12"/>
      <c r="F875" s="12"/>
      <c r="G875" s="12"/>
      <c r="H875" s="12"/>
      <c r="I875" s="12"/>
      <c r="J875" s="12"/>
      <c r="K875" s="12"/>
      <c r="L875" s="12"/>
      <c r="M875" s="12"/>
      <c r="N875" s="12"/>
      <c r="O875" s="12"/>
      <c r="P875" s="12"/>
      <c r="Q875" s="12"/>
      <c r="R875" s="12"/>
      <c r="S875" s="12"/>
      <c r="T875" s="12"/>
      <c r="U875" s="12"/>
      <c r="V875" s="12"/>
      <c r="W875" s="12"/>
      <c r="X875" s="12" t="s">
        <v>1737</v>
      </c>
      <c r="Y875" s="12"/>
      <c r="Z875" s="12"/>
      <c r="AA875" s="12"/>
      <c r="AB875" s="12"/>
      <c r="AC875" s="12"/>
      <c r="AD875" s="17"/>
    </row>
    <row r="876" spans="2:30" s="3" customFormat="1" ht="40.5" x14ac:dyDescent="0.25">
      <c r="B876" s="10" t="s">
        <v>1517</v>
      </c>
      <c r="C876" s="25" t="s">
        <v>1518</v>
      </c>
      <c r="D876" s="16"/>
      <c r="E876" s="12"/>
      <c r="F876" s="12"/>
      <c r="G876" s="12"/>
      <c r="H876" s="12"/>
      <c r="I876" s="12"/>
      <c r="J876" s="12"/>
      <c r="K876" s="12"/>
      <c r="L876" s="12"/>
      <c r="M876" s="12"/>
      <c r="N876" s="12"/>
      <c r="O876" s="12"/>
      <c r="P876" s="12"/>
      <c r="Q876" s="12"/>
      <c r="R876" s="12"/>
      <c r="S876" s="12"/>
      <c r="T876" s="12"/>
      <c r="U876" s="12"/>
      <c r="V876" s="12"/>
      <c r="W876" s="12"/>
      <c r="X876" s="12" t="s">
        <v>1737</v>
      </c>
      <c r="Y876" s="12"/>
      <c r="Z876" s="12"/>
      <c r="AA876" s="12"/>
      <c r="AB876" s="12"/>
      <c r="AC876" s="12"/>
      <c r="AD876" s="17"/>
    </row>
    <row r="877" spans="2:30" s="3" customFormat="1" ht="67.5" x14ac:dyDescent="0.25">
      <c r="B877" s="10" t="s">
        <v>1519</v>
      </c>
      <c r="C877" s="25" t="s">
        <v>1520</v>
      </c>
      <c r="D877" s="16"/>
      <c r="E877" s="12"/>
      <c r="F877" s="12"/>
      <c r="G877" s="12"/>
      <c r="H877" s="12"/>
      <c r="I877" s="12"/>
      <c r="J877" s="12"/>
      <c r="K877" s="12"/>
      <c r="L877" s="12"/>
      <c r="M877" s="12"/>
      <c r="N877" s="12"/>
      <c r="O877" s="12"/>
      <c r="P877" s="12"/>
      <c r="Q877" s="12"/>
      <c r="R877" s="12"/>
      <c r="S877" s="12"/>
      <c r="T877" s="12"/>
      <c r="U877" s="12"/>
      <c r="V877" s="12"/>
      <c r="W877" s="12"/>
      <c r="X877" s="12" t="s">
        <v>1738</v>
      </c>
      <c r="Y877" s="12"/>
      <c r="Z877" s="12"/>
      <c r="AA877" s="12"/>
      <c r="AB877" s="12"/>
      <c r="AC877" s="12"/>
      <c r="AD877" s="17"/>
    </row>
    <row r="878" spans="2:30" s="3" customFormat="1" ht="67.5" x14ac:dyDescent="0.25">
      <c r="B878" s="10" t="s">
        <v>1521</v>
      </c>
      <c r="C878" s="25" t="s">
        <v>1522</v>
      </c>
      <c r="D878" s="16"/>
      <c r="E878" s="12"/>
      <c r="F878" s="12"/>
      <c r="G878" s="12"/>
      <c r="H878" s="12"/>
      <c r="I878" s="12"/>
      <c r="J878" s="12"/>
      <c r="K878" s="12"/>
      <c r="L878" s="12"/>
      <c r="M878" s="12"/>
      <c r="N878" s="12"/>
      <c r="O878" s="12"/>
      <c r="P878" s="12"/>
      <c r="Q878" s="12"/>
      <c r="R878" s="12"/>
      <c r="S878" s="12"/>
      <c r="T878" s="12"/>
      <c r="U878" s="12"/>
      <c r="V878" s="12"/>
      <c r="W878" s="12"/>
      <c r="X878" s="12" t="s">
        <v>1738</v>
      </c>
      <c r="Y878" s="12"/>
      <c r="Z878" s="12"/>
      <c r="AA878" s="12"/>
      <c r="AB878" s="12"/>
      <c r="AC878" s="12"/>
      <c r="AD878" s="17"/>
    </row>
    <row r="879" spans="2:30" s="3" customFormat="1" ht="27" x14ac:dyDescent="0.25">
      <c r="B879" s="10" t="s">
        <v>1523</v>
      </c>
      <c r="C879" s="25" t="s">
        <v>1524</v>
      </c>
      <c r="D879" s="16"/>
      <c r="E879" s="12"/>
      <c r="F879" s="12"/>
      <c r="G879" s="12"/>
      <c r="H879" s="12"/>
      <c r="I879" s="12"/>
      <c r="J879" s="12"/>
      <c r="K879" s="12"/>
      <c r="L879" s="12"/>
      <c r="M879" s="12"/>
      <c r="N879" s="12"/>
      <c r="O879" s="12"/>
      <c r="P879" s="12"/>
      <c r="Q879" s="12"/>
      <c r="R879" s="12"/>
      <c r="S879" s="12"/>
      <c r="T879" s="12"/>
      <c r="U879" s="12"/>
      <c r="V879" s="12"/>
      <c r="W879" s="12"/>
      <c r="X879" s="12" t="s">
        <v>1739</v>
      </c>
      <c r="Y879" s="12"/>
      <c r="Z879" s="12"/>
      <c r="AA879" s="12"/>
      <c r="AB879" s="12"/>
      <c r="AC879" s="12"/>
      <c r="AD879" s="17"/>
    </row>
    <row r="880" spans="2:30" s="3" customFormat="1" ht="27" x14ac:dyDescent="0.25">
      <c r="B880" s="10" t="s">
        <v>1525</v>
      </c>
      <c r="C880" s="25" t="s">
        <v>1524</v>
      </c>
      <c r="D880" s="16"/>
      <c r="E880" s="12"/>
      <c r="F880" s="12"/>
      <c r="G880" s="12"/>
      <c r="H880" s="12"/>
      <c r="I880" s="12"/>
      <c r="J880" s="12"/>
      <c r="K880" s="12"/>
      <c r="L880" s="12"/>
      <c r="M880" s="12"/>
      <c r="N880" s="12"/>
      <c r="O880" s="12"/>
      <c r="P880" s="12"/>
      <c r="Q880" s="12"/>
      <c r="R880" s="12"/>
      <c r="S880" s="12"/>
      <c r="T880" s="12"/>
      <c r="U880" s="12"/>
      <c r="V880" s="12"/>
      <c r="W880" s="12"/>
      <c r="X880" s="12" t="s">
        <v>1739</v>
      </c>
      <c r="Y880" s="12"/>
      <c r="Z880" s="12"/>
      <c r="AA880" s="12"/>
      <c r="AB880" s="12"/>
      <c r="AC880" s="12"/>
      <c r="AD880" s="17"/>
    </row>
    <row r="881" spans="2:30" s="3" customFormat="1" ht="54" x14ac:dyDescent="0.25">
      <c r="B881" s="10" t="s">
        <v>1526</v>
      </c>
      <c r="C881" s="25" t="s">
        <v>1527</v>
      </c>
      <c r="D881" s="16"/>
      <c r="E881" s="12"/>
      <c r="F881" s="12"/>
      <c r="G881" s="12"/>
      <c r="H881" s="12"/>
      <c r="I881" s="12"/>
      <c r="J881" s="12"/>
      <c r="K881" s="12"/>
      <c r="L881" s="12"/>
      <c r="M881" s="12"/>
      <c r="N881" s="12"/>
      <c r="O881" s="12"/>
      <c r="P881" s="12"/>
      <c r="Q881" s="12"/>
      <c r="R881" s="12"/>
      <c r="S881" s="12"/>
      <c r="T881" s="12"/>
      <c r="U881" s="12"/>
      <c r="V881" s="12"/>
      <c r="W881" s="12"/>
      <c r="X881" s="12" t="s">
        <v>1562</v>
      </c>
      <c r="Y881" s="12"/>
      <c r="Z881" s="12"/>
      <c r="AA881" s="12"/>
      <c r="AB881" s="12"/>
      <c r="AC881" s="12"/>
      <c r="AD881" s="17"/>
    </row>
    <row r="882" spans="2:30" s="3" customFormat="1" ht="54" x14ac:dyDescent="0.25">
      <c r="B882" s="10" t="s">
        <v>1528</v>
      </c>
      <c r="C882" s="25" t="s">
        <v>1529</v>
      </c>
      <c r="D882" s="16"/>
      <c r="E882" s="12"/>
      <c r="F882" s="12"/>
      <c r="G882" s="12"/>
      <c r="H882" s="12"/>
      <c r="I882" s="12"/>
      <c r="J882" s="12"/>
      <c r="K882" s="12"/>
      <c r="L882" s="12"/>
      <c r="M882" s="12"/>
      <c r="N882" s="12"/>
      <c r="O882" s="12"/>
      <c r="P882" s="12"/>
      <c r="Q882" s="12"/>
      <c r="R882" s="12"/>
      <c r="S882" s="12"/>
      <c r="T882" s="12"/>
      <c r="U882" s="12"/>
      <c r="V882" s="12"/>
      <c r="W882" s="12"/>
      <c r="X882" s="12" t="s">
        <v>1562</v>
      </c>
      <c r="Y882" s="12"/>
      <c r="Z882" s="12"/>
      <c r="AA882" s="12"/>
      <c r="AB882" s="12"/>
      <c r="AC882" s="12"/>
      <c r="AD882" s="17"/>
    </row>
    <row r="883" spans="2:30" s="3" customFormat="1" ht="13.5" x14ac:dyDescent="0.25">
      <c r="B883" s="10" t="s">
        <v>1530</v>
      </c>
      <c r="C883" s="25" t="s">
        <v>53</v>
      </c>
      <c r="D883" s="16"/>
      <c r="E883" s="12"/>
      <c r="F883" s="12"/>
      <c r="G883" s="12"/>
      <c r="H883" s="12"/>
      <c r="I883" s="12"/>
      <c r="J883" s="12"/>
      <c r="K883" s="12"/>
      <c r="L883" s="12"/>
      <c r="M883" s="12"/>
      <c r="N883" s="12"/>
      <c r="O883" s="12"/>
      <c r="P883" s="12"/>
      <c r="Q883" s="12"/>
      <c r="R883" s="12"/>
      <c r="S883" s="12"/>
      <c r="T883" s="12"/>
      <c r="U883" s="12"/>
      <c r="V883" s="12"/>
      <c r="W883" s="12"/>
      <c r="X883" s="12" t="s">
        <v>1562</v>
      </c>
      <c r="Y883" s="12"/>
      <c r="Z883" s="12"/>
      <c r="AA883" s="12"/>
      <c r="AB883" s="12"/>
      <c r="AC883" s="12"/>
      <c r="AD883" s="17"/>
    </row>
    <row r="884" spans="2:30" s="3" customFormat="1" ht="40.5" x14ac:dyDescent="0.25">
      <c r="B884" s="10" t="s">
        <v>1531</v>
      </c>
      <c r="C884" s="25" t="s">
        <v>1532</v>
      </c>
      <c r="D884" s="16"/>
      <c r="E884" s="12"/>
      <c r="F884" s="12"/>
      <c r="G884" s="12"/>
      <c r="H884" s="12"/>
      <c r="I884" s="12"/>
      <c r="J884" s="12"/>
      <c r="K884" s="12"/>
      <c r="L884" s="12"/>
      <c r="M884" s="12"/>
      <c r="N884" s="12"/>
      <c r="O884" s="12"/>
      <c r="P884" s="12"/>
      <c r="Q884" s="12"/>
      <c r="R884" s="12"/>
      <c r="S884" s="12"/>
      <c r="T884" s="12"/>
      <c r="U884" s="12"/>
      <c r="V884" s="12"/>
      <c r="W884" s="12"/>
      <c r="X884" s="12" t="s">
        <v>1562</v>
      </c>
      <c r="Y884" s="12"/>
      <c r="Z884" s="12"/>
      <c r="AA884" s="12"/>
      <c r="AB884" s="12"/>
      <c r="AC884" s="12"/>
      <c r="AD884" s="17"/>
    </row>
    <row r="885" spans="2:30" s="3" customFormat="1" ht="13.5" x14ac:dyDescent="0.25">
      <c r="B885" s="10" t="s">
        <v>1533</v>
      </c>
      <c r="C885" s="25" t="s">
        <v>53</v>
      </c>
      <c r="D885" s="16"/>
      <c r="E885" s="12"/>
      <c r="F885" s="12"/>
      <c r="G885" s="12"/>
      <c r="H885" s="12"/>
      <c r="I885" s="12"/>
      <c r="J885" s="12"/>
      <c r="K885" s="12"/>
      <c r="L885" s="12"/>
      <c r="M885" s="12"/>
      <c r="N885" s="12"/>
      <c r="O885" s="12"/>
      <c r="P885" s="12"/>
      <c r="Q885" s="12"/>
      <c r="R885" s="12"/>
      <c r="S885" s="12"/>
      <c r="T885" s="12"/>
      <c r="U885" s="12"/>
      <c r="V885" s="12"/>
      <c r="W885" s="12"/>
      <c r="X885" s="12" t="s">
        <v>1562</v>
      </c>
      <c r="Y885" s="12"/>
      <c r="Z885" s="12"/>
      <c r="AA885" s="12"/>
      <c r="AB885" s="12"/>
      <c r="AC885" s="12"/>
      <c r="AD885" s="17"/>
    </row>
    <row r="886" spans="2:30" s="3" customFormat="1" ht="13.5" x14ac:dyDescent="0.25">
      <c r="B886" s="10" t="s">
        <v>1534</v>
      </c>
      <c r="C886" s="25" t="s">
        <v>157</v>
      </c>
      <c r="D886" s="16" t="str">
        <f>VLOOKUP(B886,'[1]ART 1'!A:E,5,FALSE)</f>
        <v>5</v>
      </c>
      <c r="E886" s="12"/>
      <c r="F886" s="12" t="str">
        <f>VLOOKUP(B886,'[1]ART 2 B)'!A:E,5,FALSE)</f>
        <v xml:space="preserve">Ex. </v>
      </c>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7"/>
    </row>
    <row r="887" spans="2:30" s="3" customFormat="1" ht="13.5" x14ac:dyDescent="0.25">
      <c r="B887" s="10" t="s">
        <v>1535</v>
      </c>
      <c r="C887" s="25" t="s">
        <v>565</v>
      </c>
      <c r="D887" s="16"/>
      <c r="E887" s="12"/>
      <c r="F887" s="12" t="str">
        <f>VLOOKUP(B887,'[1]ART 2 B)'!A:E,5,FALSE)</f>
        <v xml:space="preserve">Ex. </v>
      </c>
      <c r="G887" s="12"/>
      <c r="H887" s="12"/>
      <c r="I887" s="12"/>
      <c r="J887" s="12"/>
      <c r="K887" s="12"/>
      <c r="L887" s="12"/>
      <c r="M887" s="12"/>
      <c r="N887" s="12"/>
      <c r="O887" s="12"/>
      <c r="P887" s="12"/>
      <c r="Q887" s="12"/>
      <c r="R887" s="12"/>
      <c r="S887" s="12"/>
      <c r="T887" s="12"/>
      <c r="U887" s="12"/>
      <c r="V887" s="12"/>
      <c r="W887" s="12"/>
      <c r="X887" s="12" t="s">
        <v>1562</v>
      </c>
      <c r="Y887" s="12"/>
      <c r="Z887" s="12"/>
      <c r="AA887" s="12"/>
      <c r="AB887" s="12"/>
      <c r="AC887" s="12"/>
      <c r="AD887" s="17"/>
    </row>
    <row r="888" spans="2:30" s="3" customFormat="1" ht="13.5" x14ac:dyDescent="0.25">
      <c r="B888" s="10" t="s">
        <v>1536</v>
      </c>
      <c r="C888" s="25" t="s">
        <v>157</v>
      </c>
      <c r="D888" s="16" t="str">
        <f>VLOOKUP(B888,'[1]ART 1'!A:E,5,FALSE)</f>
        <v>5</v>
      </c>
      <c r="E888" s="12"/>
      <c r="F888" s="12" t="str">
        <f>VLOOKUP(B888,'[1]ART 2 B)'!A:E,5,FALSE)</f>
        <v xml:space="preserve">Ex. </v>
      </c>
      <c r="G888" s="12"/>
      <c r="H888" s="12"/>
      <c r="I888" s="12"/>
      <c r="J888" s="12"/>
      <c r="K888" s="12"/>
      <c r="L888" s="12"/>
      <c r="M888" s="12"/>
      <c r="N888" s="12"/>
      <c r="O888" s="12"/>
      <c r="P888" s="12"/>
      <c r="Q888" s="12"/>
      <c r="R888" s="12"/>
      <c r="S888" s="12"/>
      <c r="T888" s="12"/>
      <c r="U888" s="12"/>
      <c r="V888" s="12"/>
      <c r="W888" s="12"/>
      <c r="X888" s="12" t="s">
        <v>1562</v>
      </c>
      <c r="Y888" s="12"/>
      <c r="Z888" s="12"/>
      <c r="AA888" s="12"/>
      <c r="AB888" s="12"/>
      <c r="AC888" s="12"/>
      <c r="AD888" s="17"/>
    </row>
    <row r="889" spans="2:30" s="3" customFormat="1" ht="13.5" x14ac:dyDescent="0.25">
      <c r="B889" s="9" t="s">
        <v>1537</v>
      </c>
      <c r="C889" s="25" t="s">
        <v>53</v>
      </c>
      <c r="D889" s="16"/>
      <c r="E889" s="12"/>
      <c r="F889" s="12"/>
      <c r="G889" s="12"/>
      <c r="H889" s="12" t="str">
        <f>VLOOKUP(B889,'[1]ART IV'!A:E,5,FALSE)</f>
        <v xml:space="preserve">Ex. </v>
      </c>
      <c r="I889" s="12"/>
      <c r="J889" s="12"/>
      <c r="K889" s="12"/>
      <c r="L889" s="12"/>
      <c r="M889" s="12"/>
      <c r="N889" s="12"/>
      <c r="O889" s="12"/>
      <c r="P889" s="12"/>
      <c r="Q889" s="12"/>
      <c r="R889" s="12"/>
      <c r="S889" s="12"/>
      <c r="T889" s="12"/>
      <c r="U889" s="12"/>
      <c r="V889" s="12"/>
      <c r="W889" s="12"/>
      <c r="X889" s="12"/>
      <c r="Y889" s="12"/>
      <c r="Z889" s="12"/>
      <c r="AA889" s="12"/>
      <c r="AB889" s="12"/>
      <c r="AC889" s="12"/>
      <c r="AD889" s="17"/>
    </row>
    <row r="890" spans="2:30" s="3" customFormat="1" ht="27" x14ac:dyDescent="0.25">
      <c r="B890" s="9" t="s">
        <v>1538</v>
      </c>
      <c r="C890" s="25" t="s">
        <v>1539</v>
      </c>
      <c r="D890" s="16"/>
      <c r="E890" s="12"/>
      <c r="F890" s="12"/>
      <c r="G890" s="12"/>
      <c r="H890" s="12" t="str">
        <f>VLOOKUP(B890,'[1]ART IV'!A:E,5,FALSE)</f>
        <v xml:space="preserve">Ex. </v>
      </c>
      <c r="I890" s="12"/>
      <c r="J890" s="12"/>
      <c r="K890" s="12"/>
      <c r="L890" s="12"/>
      <c r="M890" s="12"/>
      <c r="N890" s="12"/>
      <c r="O890" s="12"/>
      <c r="P890" s="12"/>
      <c r="Q890" s="12"/>
      <c r="R890" s="12"/>
      <c r="S890" s="12"/>
      <c r="T890" s="12"/>
      <c r="U890" s="12"/>
      <c r="V890" s="12"/>
      <c r="W890" s="12"/>
      <c r="X890" s="12"/>
      <c r="Y890" s="12"/>
      <c r="Z890" s="12"/>
      <c r="AA890" s="12"/>
      <c r="AB890" s="12"/>
      <c r="AC890" s="12"/>
      <c r="AD890" s="17"/>
    </row>
    <row r="891" spans="2:30" s="3" customFormat="1" ht="13.5" x14ac:dyDescent="0.25">
      <c r="B891" s="10" t="s">
        <v>1540</v>
      </c>
      <c r="C891" s="25" t="s">
        <v>53</v>
      </c>
      <c r="D891" s="16"/>
      <c r="E891" s="12"/>
      <c r="F891" s="12"/>
      <c r="G891" s="12"/>
      <c r="H891" s="12"/>
      <c r="I891" s="12"/>
      <c r="J891" s="12"/>
      <c r="K891" s="12"/>
      <c r="L891" s="12"/>
      <c r="M891" s="12"/>
      <c r="N891" s="12"/>
      <c r="O891" s="12"/>
      <c r="P891" s="12"/>
      <c r="Q891" s="12"/>
      <c r="R891" s="12"/>
      <c r="S891" s="12"/>
      <c r="T891" s="12"/>
      <c r="U891" s="12"/>
      <c r="V891" s="12"/>
      <c r="W891" s="12"/>
      <c r="X891" s="12" t="s">
        <v>1562</v>
      </c>
      <c r="Y891" s="12"/>
      <c r="Z891" s="12"/>
      <c r="AA891" s="12"/>
      <c r="AB891" s="12"/>
      <c r="AC891" s="12"/>
      <c r="AD891" s="17"/>
    </row>
    <row r="892" spans="2:30" s="3" customFormat="1" ht="67.5" x14ac:dyDescent="0.25">
      <c r="B892" s="10" t="s">
        <v>1541</v>
      </c>
      <c r="C892" s="25" t="s">
        <v>1542</v>
      </c>
      <c r="D892" s="16"/>
      <c r="E892" s="12"/>
      <c r="F892" s="12"/>
      <c r="G892" s="12"/>
      <c r="H892" s="12" t="str">
        <f>VLOOKUP(B892,'[1]ART IV'!A:E,5,FALSE)</f>
        <v xml:space="preserve">Ex. </v>
      </c>
      <c r="I892" s="12"/>
      <c r="J892" s="12"/>
      <c r="K892" s="12"/>
      <c r="L892" s="12"/>
      <c r="M892" s="12"/>
      <c r="N892" s="12"/>
      <c r="O892" s="12"/>
      <c r="P892" s="12"/>
      <c r="Q892" s="12"/>
      <c r="R892" s="12"/>
      <c r="S892" s="12"/>
      <c r="T892" s="12"/>
      <c r="U892" s="12"/>
      <c r="V892" s="12"/>
      <c r="W892" s="12"/>
      <c r="X892" s="12" t="s">
        <v>1562</v>
      </c>
      <c r="Y892" s="12"/>
      <c r="Z892" s="12"/>
      <c r="AA892" s="12"/>
      <c r="AB892" s="12"/>
      <c r="AC892" s="12"/>
      <c r="AD892" s="17"/>
    </row>
    <row r="893" spans="2:30" s="3" customFormat="1" ht="13.5" x14ac:dyDescent="0.25">
      <c r="B893" s="10" t="s">
        <v>1543</v>
      </c>
      <c r="C893" s="25" t="s">
        <v>53</v>
      </c>
      <c r="D893" s="16" t="str">
        <f>VLOOKUP(B893,'[1]ART 1'!A:E,5,FALSE)</f>
        <v>Ex.</v>
      </c>
      <c r="E893" s="12" t="str">
        <f>VLOOKUP(B893,'[1]ART 2 A)'!A:E,5,FALSE)</f>
        <v>Ex.</v>
      </c>
      <c r="F893" s="12"/>
      <c r="G893" s="12"/>
      <c r="H893" s="12"/>
      <c r="I893" s="12"/>
      <c r="J893" s="12"/>
      <c r="K893" s="12" t="str">
        <f>VLOOKUP(B893,'[1]ART 7'!A:E,5,FALSE)</f>
        <v xml:space="preserve">5 </v>
      </c>
      <c r="L893" s="12"/>
      <c r="M893" s="12"/>
      <c r="N893" s="12" t="s">
        <v>1570</v>
      </c>
      <c r="O893" s="12" t="s">
        <v>1570</v>
      </c>
      <c r="P893" s="12"/>
      <c r="Q893" s="12"/>
      <c r="R893" s="12"/>
      <c r="S893" s="12"/>
      <c r="T893" s="12"/>
      <c r="U893" s="12"/>
      <c r="V893" s="12"/>
      <c r="W893" s="12"/>
      <c r="X893" s="12" t="s">
        <v>1562</v>
      </c>
      <c r="Y893" s="12"/>
      <c r="Z893" s="12"/>
      <c r="AA893" s="12"/>
      <c r="AB893" s="12"/>
      <c r="AC893" s="12"/>
      <c r="AD893" s="17"/>
    </row>
    <row r="894" spans="2:30" s="3" customFormat="1" ht="13.5" x14ac:dyDescent="0.25">
      <c r="B894" s="10" t="s">
        <v>1544</v>
      </c>
      <c r="C894" s="25" t="s">
        <v>1545</v>
      </c>
      <c r="D894" s="16"/>
      <c r="E894" s="12"/>
      <c r="F894" s="12"/>
      <c r="G894" s="12" t="str">
        <f>VLOOKUP(B894,'[1]ART 3'!A:E,5,FALSE)</f>
        <v xml:space="preserve">Ex. </v>
      </c>
      <c r="H894" s="12" t="str">
        <f>VLOOKUP(B894,'[1]ART IV'!A:E,5,FALSE)</f>
        <v xml:space="preserve">Ex. </v>
      </c>
      <c r="I894" s="12"/>
      <c r="J894" s="12"/>
      <c r="K894" s="12"/>
      <c r="L894" s="12"/>
      <c r="M894" s="12"/>
      <c r="N894" s="12" t="s">
        <v>1570</v>
      </c>
      <c r="O894" s="12"/>
      <c r="P894" s="12"/>
      <c r="Q894" s="12"/>
      <c r="R894" s="12"/>
      <c r="S894" s="12"/>
      <c r="T894" s="12"/>
      <c r="U894" s="12"/>
      <c r="V894" s="12"/>
      <c r="W894" s="12"/>
      <c r="X894" s="12"/>
      <c r="Y894" s="12" t="s">
        <v>1570</v>
      </c>
      <c r="Z894" s="12"/>
      <c r="AA894" s="12"/>
      <c r="AB894" s="12"/>
      <c r="AC894" s="12"/>
      <c r="AD894" s="17"/>
    </row>
    <row r="895" spans="2:30" s="3" customFormat="1" ht="27" x14ac:dyDescent="0.25">
      <c r="B895" s="10" t="s">
        <v>1546</v>
      </c>
      <c r="C895" s="25" t="s">
        <v>1547</v>
      </c>
      <c r="D895" s="16"/>
      <c r="E895" s="12"/>
      <c r="F895" s="12"/>
      <c r="G895" s="12" t="str">
        <f>VLOOKUP(B895,'[1]ART 3'!A:E,5,FALSE)</f>
        <v xml:space="preserve">Ex. </v>
      </c>
      <c r="H895" s="12"/>
      <c r="I895" s="12"/>
      <c r="J895" s="12"/>
      <c r="K895" s="12"/>
      <c r="L895" s="12"/>
      <c r="M895" s="12"/>
      <c r="N895" s="12"/>
      <c r="O895" s="12"/>
      <c r="P895" s="12"/>
      <c r="Q895" s="12"/>
      <c r="R895" s="12"/>
      <c r="S895" s="12"/>
      <c r="T895" s="12"/>
      <c r="U895" s="12"/>
      <c r="V895" s="12"/>
      <c r="W895" s="12" t="s">
        <v>1562</v>
      </c>
      <c r="X895" s="12"/>
      <c r="Y895" s="12" t="s">
        <v>1570</v>
      </c>
      <c r="Z895" s="12"/>
      <c r="AA895" s="12"/>
      <c r="AB895" s="12"/>
      <c r="AC895" s="12"/>
      <c r="AD895" s="17"/>
    </row>
    <row r="896" spans="2:30" s="3" customFormat="1" ht="27" x14ac:dyDescent="0.25">
      <c r="B896" s="10" t="s">
        <v>1548</v>
      </c>
      <c r="C896" s="25" t="s">
        <v>1549</v>
      </c>
      <c r="D896" s="16"/>
      <c r="E896" s="12"/>
      <c r="F896" s="12"/>
      <c r="G896" s="12" t="str">
        <f>VLOOKUP(B896,'[1]ART 3'!A:E,5,FALSE)</f>
        <v xml:space="preserve">Ex. </v>
      </c>
      <c r="H896" s="12"/>
      <c r="I896" s="12" t="str">
        <f>VLOOKUP(B896,'[1]ART 5'!A:E,5,FALSE)</f>
        <v xml:space="preserve">5 </v>
      </c>
      <c r="J896" s="12"/>
      <c r="K896" s="12"/>
      <c r="L896" s="12"/>
      <c r="M896" s="12"/>
      <c r="N896" s="12"/>
      <c r="O896" s="12"/>
      <c r="P896" s="12"/>
      <c r="Q896" s="12"/>
      <c r="R896" s="12"/>
      <c r="S896" s="12"/>
      <c r="T896" s="12"/>
      <c r="U896" s="12"/>
      <c r="V896" s="12"/>
      <c r="W896" s="12"/>
      <c r="X896" s="12"/>
      <c r="Y896" s="12" t="s">
        <v>1570</v>
      </c>
      <c r="Z896" s="12"/>
      <c r="AA896" s="12"/>
      <c r="AB896" s="12"/>
      <c r="AC896" s="12"/>
      <c r="AD896" s="17"/>
    </row>
    <row r="897" spans="2:30" s="3" customFormat="1" ht="40.5" x14ac:dyDescent="0.25">
      <c r="B897" s="10" t="s">
        <v>1550</v>
      </c>
      <c r="C897" s="25" t="s">
        <v>53</v>
      </c>
      <c r="D897" s="16"/>
      <c r="E897" s="12"/>
      <c r="F897" s="12"/>
      <c r="G897" s="12" t="str">
        <f>VLOOKUP(B897,'[1]ART 3'!A:E,5,FALSE)</f>
        <v>Ex. Excepto: De corozo o de cuero.</v>
      </c>
      <c r="H897" s="12"/>
      <c r="I897" s="12" t="str">
        <f>VLOOKUP(B897,'[1]ART 5'!A:E,5,FALSE)</f>
        <v xml:space="preserve">5 </v>
      </c>
      <c r="J897" s="12"/>
      <c r="K897" s="12"/>
      <c r="L897" s="12"/>
      <c r="M897" s="12"/>
      <c r="N897" s="12"/>
      <c r="O897" s="12"/>
      <c r="P897" s="12"/>
      <c r="Q897" s="12"/>
      <c r="R897" s="12"/>
      <c r="S897" s="12"/>
      <c r="T897" s="12"/>
      <c r="U897" s="12"/>
      <c r="V897" s="12"/>
      <c r="W897" s="12"/>
      <c r="X897" s="12"/>
      <c r="Y897" s="12" t="s">
        <v>1570</v>
      </c>
      <c r="Z897" s="12"/>
      <c r="AA897" s="12"/>
      <c r="AB897" s="12"/>
      <c r="AC897" s="12"/>
      <c r="AD897" s="17"/>
    </row>
    <row r="898" spans="2:30" s="3" customFormat="1" ht="40.5" x14ac:dyDescent="0.25">
      <c r="B898" s="10" t="s">
        <v>1551</v>
      </c>
      <c r="C898" s="25" t="s">
        <v>1552</v>
      </c>
      <c r="D898" s="16"/>
      <c r="E898" s="12"/>
      <c r="F898" s="12"/>
      <c r="G898" s="12"/>
      <c r="H898" s="12"/>
      <c r="I898" s="12"/>
      <c r="J898" s="12"/>
      <c r="K898" s="12"/>
      <c r="L898" s="12"/>
      <c r="M898" s="12"/>
      <c r="N898" s="12"/>
      <c r="O898" s="12"/>
      <c r="P898" s="12"/>
      <c r="Q898" s="12"/>
      <c r="R898" s="12"/>
      <c r="S898" s="12"/>
      <c r="T898" s="12"/>
      <c r="U898" s="12"/>
      <c r="V898" s="12"/>
      <c r="W898" s="12"/>
      <c r="X898" s="12"/>
      <c r="Y898" s="12" t="s">
        <v>1570</v>
      </c>
      <c r="Z898" s="12"/>
      <c r="AA898" s="12"/>
      <c r="AB898" s="12"/>
      <c r="AC898" s="12"/>
      <c r="AD898" s="17"/>
    </row>
    <row r="899" spans="2:30" s="3" customFormat="1" ht="13.5" x14ac:dyDescent="0.25">
      <c r="B899" s="10" t="s">
        <v>1553</v>
      </c>
      <c r="C899" s="25" t="s">
        <v>1554</v>
      </c>
      <c r="D899" s="16"/>
      <c r="E899" s="12"/>
      <c r="F899" s="12" t="str">
        <f>VLOOKUP(B899,'[1]ART 2 B)'!A:E,5,FALSE)</f>
        <v xml:space="preserve">Ex. </v>
      </c>
      <c r="G899" s="12" t="str">
        <f>VLOOKUP(B899,'[1]ART 3'!A:E,5,FALSE)</f>
        <v xml:space="preserve">Ex. </v>
      </c>
      <c r="H899" s="12" t="str">
        <f>VLOOKUP(B899,'[1]ART IV'!A:E,5,FALSE)</f>
        <v xml:space="preserve">Ex. </v>
      </c>
      <c r="I899" s="12" t="str">
        <f>VLOOKUP(B899,'[1]ART 5'!A:E,5,FALSE)</f>
        <v xml:space="preserve">5 </v>
      </c>
      <c r="J899" s="12"/>
      <c r="K899" s="12"/>
      <c r="L899" s="12"/>
      <c r="M899" s="12"/>
      <c r="N899" s="12"/>
      <c r="O899" s="12"/>
      <c r="P899" s="12"/>
      <c r="Q899" s="12"/>
      <c r="R899" s="12"/>
      <c r="S899" s="12"/>
      <c r="T899" s="12"/>
      <c r="U899" s="12"/>
      <c r="V899" s="12"/>
      <c r="W899" s="12"/>
      <c r="X899" s="12" t="s">
        <v>1562</v>
      </c>
      <c r="Y899" s="12" t="s">
        <v>1570</v>
      </c>
      <c r="Z899" s="12"/>
      <c r="AA899" s="12"/>
      <c r="AB899" s="12"/>
      <c r="AC899" s="12"/>
      <c r="AD899" s="17"/>
    </row>
    <row r="900" spans="2:30" s="3" customFormat="1" ht="13.5" x14ac:dyDescent="0.25">
      <c r="B900" s="10" t="s">
        <v>1555</v>
      </c>
      <c r="C900" s="25" t="s">
        <v>53</v>
      </c>
      <c r="D900" s="16"/>
      <c r="E900" s="12"/>
      <c r="F900" s="12"/>
      <c r="G900" s="12" t="str">
        <f>VLOOKUP(B900,'[1]ART 3'!A:E,5,FALSE)</f>
        <v xml:space="preserve">Ex. </v>
      </c>
      <c r="H900" s="12" t="str">
        <f>VLOOKUP(B900,'[1]ART IV'!A:E,5,FALSE)</f>
        <v xml:space="preserve">Ex. </v>
      </c>
      <c r="I900" s="12" t="str">
        <f>VLOOKUP(B900,'[1]ART 5'!A:E,5,FALSE)</f>
        <v xml:space="preserve">Ex. </v>
      </c>
      <c r="J900" s="12"/>
      <c r="K900" s="12"/>
      <c r="L900" s="12"/>
      <c r="M900" s="12"/>
      <c r="N900" s="12" t="s">
        <v>1562</v>
      </c>
      <c r="O900" s="12"/>
      <c r="P900" s="12" t="s">
        <v>1570</v>
      </c>
      <c r="Q900" s="12"/>
      <c r="R900" s="12"/>
      <c r="S900" s="12"/>
      <c r="T900" s="12"/>
      <c r="U900" s="12"/>
      <c r="V900" s="12"/>
      <c r="W900" s="12"/>
      <c r="X900" s="12"/>
      <c r="Y900" s="12" t="s">
        <v>1570</v>
      </c>
      <c r="Z900" s="12"/>
      <c r="AA900" s="12"/>
      <c r="AB900" s="12"/>
      <c r="AC900" s="12"/>
      <c r="AD900" s="17"/>
    </row>
    <row r="901" spans="2:30" s="3" customFormat="1" ht="13.5" x14ac:dyDescent="0.25">
      <c r="B901" s="10" t="s">
        <v>1556</v>
      </c>
      <c r="C901" s="25" t="s">
        <v>660</v>
      </c>
      <c r="D901" s="16"/>
      <c r="E901" s="12"/>
      <c r="F901" s="12"/>
      <c r="G901" s="12" t="str">
        <f>VLOOKUP(B901,'[1]ART 3'!A:E,5,FALSE)</f>
        <v xml:space="preserve">Ex. </v>
      </c>
      <c r="H901" s="12" t="str">
        <f>VLOOKUP(B901,'[1]ART IV'!A:E,5,FALSE)</f>
        <v xml:space="preserve">Ex. </v>
      </c>
      <c r="I901" s="12"/>
      <c r="J901" s="12"/>
      <c r="K901" s="12"/>
      <c r="L901" s="12"/>
      <c r="M901" s="12"/>
      <c r="N901" s="12" t="s">
        <v>1562</v>
      </c>
      <c r="O901" s="12"/>
      <c r="P901" s="12"/>
      <c r="Q901" s="12"/>
      <c r="R901" s="12"/>
      <c r="S901" s="12"/>
      <c r="T901" s="12"/>
      <c r="U901" s="12"/>
      <c r="V901" s="12"/>
      <c r="W901" s="12"/>
      <c r="X901" s="12" t="s">
        <v>1562</v>
      </c>
      <c r="Y901" s="12" t="s">
        <v>1570</v>
      </c>
      <c r="Z901" s="12"/>
      <c r="AA901" s="12"/>
      <c r="AB901" s="12"/>
      <c r="AC901" s="12"/>
      <c r="AD901" s="17"/>
    </row>
    <row r="902" spans="2:30" s="3" customFormat="1" ht="40.5" x14ac:dyDescent="0.25">
      <c r="B902" s="10" t="s">
        <v>1557</v>
      </c>
      <c r="C902" s="25" t="s">
        <v>53</v>
      </c>
      <c r="D902" s="16"/>
      <c r="E902" s="12"/>
      <c r="F902" s="12"/>
      <c r="G902" s="12"/>
      <c r="H902" s="12"/>
      <c r="I902" s="12"/>
      <c r="J902" s="12"/>
      <c r="K902" s="12"/>
      <c r="L902" s="12"/>
      <c r="M902" s="12"/>
      <c r="N902" s="12" t="s">
        <v>1740</v>
      </c>
      <c r="O902" s="12"/>
      <c r="P902" s="12"/>
      <c r="Q902" s="12"/>
      <c r="R902" s="12"/>
      <c r="S902" s="12"/>
      <c r="T902" s="12"/>
      <c r="U902" s="12"/>
      <c r="V902" s="12"/>
      <c r="W902" s="12"/>
      <c r="X902" s="12"/>
      <c r="Y902" s="12"/>
      <c r="Z902" s="12"/>
      <c r="AA902" s="12"/>
      <c r="AB902" s="12"/>
      <c r="AC902" s="12"/>
      <c r="AD902" s="17"/>
    </row>
    <row r="903" spans="2:30" s="3" customFormat="1" ht="13.5" x14ac:dyDescent="0.25">
      <c r="B903" s="10" t="s">
        <v>1558</v>
      </c>
      <c r="C903" s="25" t="s">
        <v>53</v>
      </c>
      <c r="D903" s="16"/>
      <c r="E903" s="12"/>
      <c r="F903" s="12"/>
      <c r="G903" s="12"/>
      <c r="H903" s="12" t="str">
        <f>VLOOKUP(B903,'[1]ART IV'!A:E,5,FALSE)</f>
        <v xml:space="preserve">Ex. </v>
      </c>
      <c r="I903" s="12"/>
      <c r="J903" s="12"/>
      <c r="K903" s="12"/>
      <c r="L903" s="12"/>
      <c r="M903" s="12"/>
      <c r="N903" s="12"/>
      <c r="O903" s="12"/>
      <c r="P903" s="12"/>
      <c r="Q903" s="12"/>
      <c r="R903" s="12"/>
      <c r="S903" s="12"/>
      <c r="T903" s="12"/>
      <c r="U903" s="12"/>
      <c r="V903" s="12"/>
      <c r="W903" s="12"/>
      <c r="X903" s="12"/>
      <c r="Y903" s="12" t="s">
        <v>1562</v>
      </c>
      <c r="Z903" s="12"/>
      <c r="AA903" s="12"/>
      <c r="AB903" s="12"/>
      <c r="AC903" s="12"/>
      <c r="AD903" s="17"/>
    </row>
    <row r="904" spans="2:30" s="3" customFormat="1" ht="14.25" thickBot="1" x14ac:dyDescent="0.3">
      <c r="B904" s="23" t="s">
        <v>1559</v>
      </c>
      <c r="C904" s="26" t="s">
        <v>53</v>
      </c>
      <c r="D904" s="18"/>
      <c r="E904" s="19"/>
      <c r="F904" s="19"/>
      <c r="G904" s="19" t="str">
        <f>VLOOKUP(B904,'[1]ART 3'!A:E,5,FALSE)</f>
        <v xml:space="preserve">Ex. </v>
      </c>
      <c r="H904" s="19"/>
      <c r="I904" s="19"/>
      <c r="J904" s="19"/>
      <c r="K904" s="19"/>
      <c r="L904" s="19"/>
      <c r="M904" s="19"/>
      <c r="N904" s="19"/>
      <c r="O904" s="19"/>
      <c r="P904" s="19"/>
      <c r="Q904" s="19"/>
      <c r="R904" s="19"/>
      <c r="S904" s="19"/>
      <c r="T904" s="19"/>
      <c r="U904" s="19"/>
      <c r="V904" s="19"/>
      <c r="W904" s="19"/>
      <c r="X904" s="19"/>
      <c r="Y904" s="19"/>
      <c r="Z904" s="19"/>
      <c r="AA904" s="19"/>
      <c r="AB904" s="19"/>
      <c r="AC904" s="19"/>
      <c r="AD904" s="20"/>
    </row>
  </sheetData>
  <autoFilter ref="B9:AD904"/>
  <mergeCells count="3">
    <mergeCell ref="D1:L4"/>
    <mergeCell ref="B8:C8"/>
    <mergeCell ref="D5:L7"/>
  </mergeCells>
  <hyperlinks>
    <hyperlink ref="M7" r:id="rId1"/>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ART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Nallely Oivera García</dc:creator>
  <cp:lastModifiedBy>Jennifer Nallely Oivera García</cp:lastModifiedBy>
  <dcterms:created xsi:type="dcterms:W3CDTF">2022-11-22T16:38:08Z</dcterms:created>
  <dcterms:modified xsi:type="dcterms:W3CDTF">2024-07-16T18:01:56Z</dcterms:modified>
</cp:coreProperties>
</file>